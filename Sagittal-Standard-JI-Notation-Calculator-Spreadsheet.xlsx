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xmlns:r="http://schemas.openxmlformats.org/officeDocument/2006/relationships" name="UI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Boundaries" sheetId="3" state="visible" r:id="rId3"/>
    <sheet xmlns:r="http://schemas.openxmlformats.org/officeDocument/2006/relationships" name="Commas" sheetId="4" state="visible" r:id="rId4"/>
    <sheet xmlns:r="http://schemas.openxmlformats.org/officeDocument/2006/relationships" name="Ke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000000"/>
  </numFmts>
  <fonts count="13">
    <font>
      <name val="Calibri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000000"/>
      <sz val="10"/>
    </font>
    <font>
      <name val="Arial"/>
      <i val="1"/>
      <color theme="1"/>
      <sz val="10"/>
    </font>
    <font>
      <name val="Bravura text"/>
      <color theme="1"/>
      <sz val="30"/>
    </font>
    <font>
      <name val="Calibri"/>
      <sz val="10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i val="1"/>
      <color rgb="FF000000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theme="1"/>
      <sz val="30"/>
    </font>
  </fonts>
  <fills count="11">
    <fill>
      <patternFill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99CC"/>
        <bgColor rgb="FFFF99CC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"/>
  </cellStyleXfs>
  <cellXfs count="10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center" vertical="center"/>
    </xf>
    <xf numFmtId="164" fontId="2" fillId="7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vertical="top"/>
    </xf>
    <xf numFmtId="0" fontId="8" fillId="8" borderId="2" applyAlignment="1" pivotButton="0" quotePrefix="0" xfId="0">
      <alignment horizontal="left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165" fontId="1" fillId="0" borderId="0" applyAlignment="1" pivotButton="0" quotePrefix="0" xfId="0">
      <alignment horizontal="center" wrapText="1"/>
    </xf>
    <xf numFmtId="165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65" fontId="2" fillId="9" borderId="0" applyAlignment="1" pivotButton="0" quotePrefix="0" xfId="0">
      <alignment horizontal="left"/>
    </xf>
    <xf numFmtId="165" fontId="2" fillId="9" borderId="2" applyAlignment="1" pivotButton="0" quotePrefix="0" xfId="0">
      <alignment horizontal="right"/>
    </xf>
    <xf numFmtId="165" fontId="2" fillId="9" borderId="2" applyAlignment="1" pivotButton="0" quotePrefix="0" xfId="0">
      <alignment horizontal="left"/>
    </xf>
    <xf numFmtId="0" fontId="10" fillId="0" borderId="0" pivotButton="0" quotePrefix="0" xfId="0"/>
    <xf numFmtId="165" fontId="10" fillId="0" borderId="0" applyAlignment="1" pivotButton="0" quotePrefix="0" xfId="0">
      <alignment horizontal="left"/>
    </xf>
    <xf numFmtId="0" fontId="2" fillId="10" borderId="0" applyAlignment="1" pivotButton="0" quotePrefix="0" xfId="0">
      <alignment horizontal="right"/>
    </xf>
    <xf numFmtId="165" fontId="10" fillId="10" borderId="0" applyAlignment="1" pivotButton="0" quotePrefix="0" xfId="0">
      <alignment horizontal="left"/>
    </xf>
    <xf numFmtId="0" fontId="10" fillId="10" borderId="0" pivotButton="0" quotePrefix="0" xfId="0"/>
    <xf numFmtId="0" fontId="10" fillId="10" borderId="0" pivotButton="0" quotePrefix="0" xfId="0"/>
    <xf numFmtId="165" fontId="2" fillId="10" borderId="0" applyAlignment="1" pivotButton="0" quotePrefix="0" xfId="0">
      <alignment horizontal="left"/>
    </xf>
    <xf numFmtId="0" fontId="10" fillId="10" borderId="0" applyAlignment="1" pivotButton="0" quotePrefix="0" xfId="0">
      <alignment horizontal="right"/>
    </xf>
    <xf numFmtId="49" fontId="1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49" fontId="2" fillId="0" borderId="0" pivotButton="0" quotePrefix="0" xfId="0"/>
    <xf numFmtId="0" fontId="2" fillId="0" borderId="0" applyAlignment="1" pivotButton="0" quotePrefix="0" xfId="0">
      <alignment horizontal="left"/>
    </xf>
    <xf numFmtId="165" fontId="1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1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6" fillId="0" borderId="4" pivotButton="0" quotePrefix="0" xfId="0"/>
    <xf numFmtId="0" fontId="6" fillId="0" borderId="5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3" fillId="2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wrapText="1"/>
    </xf>
    <xf numFmtId="165" fontId="2" fillId="0" borderId="0" applyAlignment="1" pivotButton="0" quotePrefix="0" xfId="0">
      <alignment horizontal="center" wrapText="1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2" pivotButton="0" quotePrefix="0" xfId="0"/>
    <xf numFmtId="164" fontId="1" fillId="0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/>
    </xf>
    <xf numFmtId="0" fontId="3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 wrapText="1"/>
    </xf>
    <xf numFmtId="0" fontId="1" fillId="0" borderId="2" applyAlignment="1" pivotButton="0" quotePrefix="0" xfId="0">
      <alignment horizontal="right" wrapText="1"/>
    </xf>
    <xf numFmtId="165" fontId="2" fillId="0" borderId="2" applyAlignment="1" pivotButton="0" quotePrefix="0" xfId="0">
      <alignment horizontal="center" wrapText="1"/>
    </xf>
  </cellXfs>
  <cellStyles count="1">
    <cellStyle name="Normal" xfId="0" builtinId="0"/>
  </cellStyles>
  <dxfs count="3">
    <dxf>
      <fill>
        <patternFill patternType="solid">
          <fgColor rgb="FF4FFFFF"/>
          <bgColor rgb="FF4FFFFF"/>
        </patternFill>
      </fill>
    </dxf>
    <dxf>
      <fill>
        <patternFill patternType="solid">
          <fgColor rgb="FF4FFFFF"/>
          <bgColor rgb="FF4FFF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forum.sagittal.org/viewtopic.php?f=16&amp;t=429" TargetMode="External" Id="rId1"/><Relationship Type="http://schemas.openxmlformats.org/officeDocument/2006/relationships/hyperlink" Target="http://sagittal.org/SagittalJI.gi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tabSelected="1" workbookViewId="0">
      <pane xSplit="21" topLeftCell="V1" activePane="topRight" state="frozen"/>
      <selection pane="topRight" activeCell="C13" sqref="C13:E13"/>
    </sheetView>
  </sheetViews>
  <sheetFormatPr baseColWidth="10" defaultColWidth="14.3984375" defaultRowHeight="15" customHeight="1"/>
  <cols>
    <col width="2.796875" customWidth="1" style="71" min="1" max="1"/>
    <col width="10.59765625" customWidth="1" style="71" min="2" max="2"/>
    <col width="3.796875" customWidth="1" style="71" min="3" max="19"/>
    <col width="6.796875" customWidth="1" style="71" min="20" max="20"/>
    <col width="21.796875" customWidth="1" style="71" min="21" max="21"/>
    <col width="2.796875" customWidth="1" style="71" min="22" max="22"/>
    <col width="8" customWidth="1" style="71" min="23" max="28"/>
    <col width="2.796875" customWidth="1" style="71" min="29" max="29"/>
    <col width="8" customWidth="1" style="71" min="30" max="35"/>
    <col width="2.796875" customWidth="1" style="71" min="36" max="36"/>
    <col width="8" customWidth="1" style="71" min="37" max="42"/>
    <col width="2.796875" customWidth="1" style="71" min="43" max="43"/>
    <col width="8" customWidth="1" style="71" min="44" max="49"/>
    <col width="2.796875" customWidth="1" style="71" min="50" max="50"/>
    <col width="13.3984375" customWidth="1" style="71" min="51" max="51"/>
    <col width="2.796875" customWidth="1" style="71" min="52" max="52"/>
  </cols>
  <sheetData>
    <row r="1" ht="12.75" customHeight="1" s="71">
      <c r="A1" s="77" t="n"/>
      <c r="B1" s="77" t="n"/>
      <c r="C1" s="29" t="n"/>
      <c r="D1" s="29" t="n"/>
      <c r="E1" s="29" t="n"/>
      <c r="F1" s="29" t="n"/>
      <c r="G1" s="29" t="n"/>
      <c r="H1" s="77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29" t="n"/>
      <c r="AZ1" s="29" t="n"/>
    </row>
    <row r="2" ht="12.75" customHeight="1" s="71">
      <c r="A2" s="77" t="n"/>
      <c r="B2" s="90" t="inlineStr">
        <is>
          <t>Sagittal Standard Just Intonation Notation Calculator</t>
        </is>
      </c>
      <c r="T2" s="29" t="n"/>
      <c r="U2" s="4" t="inlineStr">
        <is>
          <t>Precision Level</t>
        </is>
      </c>
      <c r="V2" s="73" t="n"/>
      <c r="W2" s="91" t="inlineStr">
        <is>
          <t>Medium</t>
        </is>
      </c>
      <c r="AC2" s="73" t="n"/>
      <c r="AD2" s="91" t="inlineStr">
        <is>
          <t>High*</t>
        </is>
      </c>
      <c r="AJ2" s="73" t="n"/>
      <c r="AK2" s="92" t="inlineStr">
        <is>
          <t>Ultra</t>
        </is>
      </c>
      <c r="AQ2" s="73" t="n"/>
      <c r="AR2" s="91" t="inlineStr">
        <is>
          <t>Extreme**</t>
        </is>
      </c>
      <c r="AX2" s="73" t="n"/>
      <c r="AY2" s="93" t="inlineStr">
        <is>
          <t>Single-shaft Sagittals are Representing (¢)</t>
        </is>
      </c>
      <c r="AZ2" s="29" t="n"/>
    </row>
    <row r="3" ht="12.75" customHeight="1" s="71">
      <c r="A3" s="6" t="n"/>
      <c r="T3" s="29" t="n"/>
      <c r="U3" s="4" t="inlineStr">
        <is>
          <t xml:space="preserve"> Maximum Symbol Set</t>
        </is>
      </c>
      <c r="V3" s="72" t="n"/>
      <c r="W3" s="94" t="inlineStr">
        <is>
          <t>Athenian</t>
        </is>
      </c>
      <c r="AC3" s="72" t="n"/>
      <c r="AD3" s="94" t="inlineStr">
        <is>
          <t>Promethean</t>
        </is>
      </c>
      <c r="AJ3" s="72" t="n"/>
      <c r="AK3" s="94" t="inlineStr">
        <is>
          <t>Herculean</t>
        </is>
      </c>
      <c r="AQ3" s="72" t="n"/>
      <c r="AR3" s="94" t="inlineStr">
        <is>
          <t>Olympian</t>
        </is>
      </c>
      <c r="AX3" s="72" t="n"/>
      <c r="AZ3" s="29" t="n"/>
    </row>
    <row r="4" ht="12.75" customHeight="1" s="71">
      <c r="A4" s="6" t="n"/>
      <c r="B4" s="82" t="n"/>
      <c r="C4" s="82" t="n"/>
      <c r="D4" s="82" t="n"/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29" t="n"/>
      <c r="U4" s="4" t="inlineStr">
        <is>
          <t>Limit</t>
        </is>
      </c>
      <c r="V4" s="72" t="n"/>
      <c r="W4" s="94" t="n">
        <v>17</v>
      </c>
      <c r="AC4" s="72" t="n"/>
      <c r="AD4" s="94" t="n">
        <v>23</v>
      </c>
      <c r="AJ4" s="72" t="n"/>
      <c r="AK4" s="94" t="n">
        <v>23</v>
      </c>
      <c r="AQ4" s="72" t="n"/>
      <c r="AR4" s="94" t="n">
        <v>47</v>
      </c>
      <c r="AX4" s="72" t="n"/>
      <c r="AZ4" s="29" t="n"/>
    </row>
    <row r="5" ht="12.75" customHeight="1" s="71">
      <c r="A5" s="6" t="n"/>
      <c r="B5" s="82" t="n"/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2" t="n"/>
      <c r="S5" s="82" t="n"/>
      <c r="T5" s="29" t="n"/>
      <c r="U5" s="4" t="inlineStr">
        <is>
          <t>Resolution (≈¢)</t>
        </is>
      </c>
      <c r="V5" s="72" t="n"/>
      <c r="W5" s="94" t="n">
        <v>5.41</v>
      </c>
      <c r="AC5" s="72" t="n"/>
      <c r="AD5" s="94" t="n">
        <v>2.42</v>
      </c>
      <c r="AJ5" s="72" t="n"/>
      <c r="AK5" s="94" t="n">
        <v>1.96</v>
      </c>
      <c r="AQ5" s="72" t="n"/>
      <c r="AR5" s="94" t="n">
        <v>0.49</v>
      </c>
      <c r="AX5" s="72" t="n"/>
      <c r="AZ5" s="29" t="n"/>
    </row>
    <row r="6" ht="12.75" customHeight="1" s="71">
      <c r="A6" s="6" t="n"/>
      <c r="B6" s="8" t="inlineStr">
        <is>
          <t>You can enter your pitch's prime factor exponents in the light-blue-colored cells. Leave 0's to ignore.</t>
        </is>
      </c>
      <c r="C6" s="8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4" t="inlineStr">
        <is>
          <t>Diacritics</t>
        </is>
      </c>
      <c r="V6" s="72" t="n"/>
      <c r="W6" s="94" t="inlineStr">
        <is>
          <t>none</t>
        </is>
      </c>
      <c r="AC6" s="72" t="n"/>
      <c r="AD6" s="94" t="inlineStr">
        <is>
          <t>none</t>
        </is>
      </c>
      <c r="AJ6" s="72" t="n"/>
      <c r="AK6" s="94" t="inlineStr">
        <is>
          <t>accents</t>
        </is>
      </c>
      <c r="AQ6" s="72" t="n"/>
      <c r="AR6" s="94" t="inlineStr">
        <is>
          <t>accents &amp; breves</t>
        </is>
      </c>
      <c r="AX6" s="72" t="n"/>
      <c r="AZ6" s="29" t="n"/>
    </row>
    <row r="7" ht="12.75" customHeight="1" s="71">
      <c r="A7" s="6" t="n"/>
      <c r="B7" s="6" t="inlineStr">
        <is>
          <t>Prime:</t>
        </is>
      </c>
      <c r="C7" s="9" t="n">
        <v>3</v>
      </c>
      <c r="D7" s="9" t="n">
        <v>5</v>
      </c>
      <c r="E7" s="9" t="n">
        <v>7</v>
      </c>
      <c r="F7" s="9" t="n">
        <v>11</v>
      </c>
      <c r="G7" s="9" t="n">
        <v>13</v>
      </c>
      <c r="H7" s="9" t="n">
        <v>17</v>
      </c>
      <c r="I7" s="9" t="n">
        <v>19</v>
      </c>
      <c r="J7" s="9" t="n">
        <v>23</v>
      </c>
      <c r="K7" s="9" t="n">
        <v>29</v>
      </c>
      <c r="L7" s="9" t="n">
        <v>31</v>
      </c>
      <c r="M7" s="9" t="n">
        <v>37</v>
      </c>
      <c r="N7" s="9" t="n">
        <v>41</v>
      </c>
      <c r="O7" s="73" t="n">
        <v>43</v>
      </c>
      <c r="P7" s="73" t="n">
        <v>47</v>
      </c>
      <c r="Q7" s="73" t="n">
        <v>53</v>
      </c>
      <c r="R7" s="73" t="n">
        <v>59</v>
      </c>
      <c r="S7" s="73" t="n">
        <v>61</v>
      </c>
      <c r="T7" s="29" t="n"/>
      <c r="U7" s="72" t="n"/>
      <c r="V7" s="72" t="n"/>
      <c r="W7" s="91" t="inlineStr">
        <is>
          <t>ASCII</t>
        </is>
      </c>
      <c r="Y7" s="91" t="inlineStr">
        <is>
          <t>Unicode</t>
        </is>
      </c>
      <c r="AA7" s="95" t="inlineStr">
        <is>
          <t>Fifths Count</t>
        </is>
      </c>
      <c r="AB7" s="96" t="inlineStr">
        <is>
          <t>Error
(¢)</t>
        </is>
      </c>
      <c r="AC7" s="73" t="n"/>
      <c r="AD7" s="91" t="inlineStr">
        <is>
          <t>ASCII</t>
        </is>
      </c>
      <c r="AF7" s="91" t="inlineStr">
        <is>
          <t>Unicode</t>
        </is>
      </c>
      <c r="AH7" s="95" t="inlineStr">
        <is>
          <t>Fifths Count</t>
        </is>
      </c>
      <c r="AI7" s="96" t="inlineStr">
        <is>
          <t>Error
(¢)</t>
        </is>
      </c>
      <c r="AJ7" s="73" t="n"/>
      <c r="AK7" s="91" t="inlineStr">
        <is>
          <t>ASCII</t>
        </is>
      </c>
      <c r="AM7" s="91" t="inlineStr">
        <is>
          <t>Unicode</t>
        </is>
      </c>
      <c r="AO7" s="95" t="inlineStr">
        <is>
          <t>Fifths Count</t>
        </is>
      </c>
      <c r="AP7" s="96" t="inlineStr">
        <is>
          <t>Error
(¢)</t>
        </is>
      </c>
      <c r="AQ7" s="73" t="n"/>
      <c r="AR7" s="91" t="inlineStr">
        <is>
          <t>ASCII</t>
        </is>
      </c>
      <c r="AT7" s="91" t="inlineStr">
        <is>
          <t>Unicode</t>
        </is>
      </c>
      <c r="AV7" s="95" t="inlineStr">
        <is>
          <t>Fifths Count</t>
        </is>
      </c>
      <c r="AW7" s="96" t="inlineStr">
        <is>
          <t>Error
(¢)</t>
        </is>
      </c>
      <c r="AX7" s="72" t="n"/>
      <c r="AZ7" s="29" t="n"/>
    </row>
    <row r="8" ht="12.75" customHeight="1" s="71">
      <c r="A8" s="6" t="n"/>
      <c r="B8" s="87" t="inlineStr">
        <is>
          <t>Exponent: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3" t="n">
        <v>0</v>
      </c>
      <c r="I8" s="13" t="n">
        <v>0</v>
      </c>
      <c r="J8" s="12" t="n">
        <v>0</v>
      </c>
      <c r="K8" s="12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2" t="n">
        <v>0</v>
      </c>
      <c r="Q8" s="13" t="n">
        <v>0</v>
      </c>
      <c r="R8" s="13" t="n">
        <v>0</v>
      </c>
      <c r="S8" s="13" t="n">
        <v>0</v>
      </c>
      <c r="T8" s="29" t="n"/>
      <c r="U8" s="72" t="n"/>
      <c r="V8" s="72" t="n"/>
      <c r="W8" s="73" t="inlineStr">
        <is>
          <t>Evo</t>
        </is>
      </c>
      <c r="X8" s="73" t="inlineStr">
        <is>
          <t>Revo</t>
        </is>
      </c>
      <c r="Y8" s="73" t="inlineStr">
        <is>
          <t>Evo</t>
        </is>
      </c>
      <c r="Z8" s="73" t="inlineStr">
        <is>
          <t>Revo</t>
        </is>
      </c>
      <c r="AC8" s="73" t="n"/>
      <c r="AD8" s="73" t="inlineStr">
        <is>
          <t>Evo</t>
        </is>
      </c>
      <c r="AE8" s="73" t="inlineStr">
        <is>
          <t>Revo</t>
        </is>
      </c>
      <c r="AF8" s="73" t="inlineStr">
        <is>
          <t>Evo</t>
        </is>
      </c>
      <c r="AG8" s="73" t="inlineStr">
        <is>
          <t>Revo</t>
        </is>
      </c>
      <c r="AJ8" s="73" t="n"/>
      <c r="AK8" s="73" t="inlineStr">
        <is>
          <t>Evo</t>
        </is>
      </c>
      <c r="AL8" s="73" t="inlineStr">
        <is>
          <t>Revo</t>
        </is>
      </c>
      <c r="AM8" s="73" t="inlineStr">
        <is>
          <t>Evo</t>
        </is>
      </c>
      <c r="AN8" s="73" t="inlineStr">
        <is>
          <t>Revo</t>
        </is>
      </c>
      <c r="AQ8" s="73" t="n"/>
      <c r="AR8" s="73" t="inlineStr">
        <is>
          <t>Evo</t>
        </is>
      </c>
      <c r="AS8" s="73" t="inlineStr">
        <is>
          <t>Revo</t>
        </is>
      </c>
      <c r="AT8" s="73" t="inlineStr">
        <is>
          <t>Evo</t>
        </is>
      </c>
      <c r="AU8" s="73" t="inlineStr">
        <is>
          <t>Revo</t>
        </is>
      </c>
      <c r="AX8" s="72" t="n"/>
      <c r="AZ8" s="29" t="n"/>
    </row>
    <row r="9" ht="36" customHeight="1" s="71">
      <c r="A9" s="73" t="n"/>
      <c r="B9" s="8" t="inlineStr">
        <is>
          <t>You can also directly enter your pitch as a ratio. Leave 1's to ignore.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77" t="n"/>
      <c r="V9" s="77" t="n"/>
      <c r="W9" s="15">
        <f>CONCATENATE(VLOOKUP(Calculator!$H6,Key!$A$2:$E$982,2,FALSE),Calculator!$B6)</f>
        <v/>
      </c>
      <c r="X9" s="15">
        <f>CONCATENATE(VLOOKUP(Calculator!$H6,Key!$A$2:$E$982,3,FALSE),Calculator!$B6)</f>
        <v/>
      </c>
      <c r="Y9" s="16">
        <f>CONCATENATE(VLOOKUP(Calculator!$H6,Key!$A$2:$E$982,4,FALSE),Calculator!$C6)</f>
        <v/>
      </c>
      <c r="Z9" s="16">
        <f>CONCATENATE(VLOOKUP(Calculator!$H6,Key!$A$2:$E$982,5,FALSE),Calculator!$C6)</f>
        <v/>
      </c>
      <c r="AA9" s="15">
        <f>Calculator!$AB6</f>
        <v/>
      </c>
      <c r="AB9" s="17">
        <f>Calculator!$L6</f>
        <v/>
      </c>
      <c r="AC9" s="82" t="n"/>
      <c r="AD9" s="18">
        <f>CONCATENATE(VLOOKUP(Calculator!$M6,Key!$A$2:$E$982,2,FALSE),Calculator!$B6)</f>
        <v/>
      </c>
      <c r="AE9" s="18">
        <f>CONCATENATE(VLOOKUP(Calculator!$M6,Key!$A$2:$E$982,3,FALSE),Calculator!$B6)</f>
        <v/>
      </c>
      <c r="AF9" s="19">
        <f>CONCATENATE(VLOOKUP(Calculator!$M6,Key!$A$2:$E$982,4,FALSE),Calculator!$C6)</f>
        <v/>
      </c>
      <c r="AG9" s="19">
        <f>CONCATENATE(VLOOKUP(Calculator!$M6,Key!$A$2:$E$982,5,FALSE),Calculator!$C6)</f>
        <v/>
      </c>
      <c r="AH9" s="18">
        <f>Calculator!$AB6</f>
        <v/>
      </c>
      <c r="AI9" s="20">
        <f>Calculator!$Q6</f>
        <v/>
      </c>
      <c r="AJ9" s="82" t="n"/>
      <c r="AK9" s="21">
        <f>CONCATENATE(VLOOKUP(Calculator!$R6,Key!$A$2:$E$982,2,FALSE),Calculator!$B6)</f>
        <v/>
      </c>
      <c r="AL9" s="21">
        <f>CONCATENATE(VLOOKUP(Calculator!$R6,Key!$A$2:$E$982,3,FALSE),Calculator!$B6)</f>
        <v/>
      </c>
      <c r="AM9" s="22">
        <f>CONCATENATE(VLOOKUP(Calculator!$R6,Key!$A$2:$E$982,4,FALSE),Calculator!$C6)</f>
        <v/>
      </c>
      <c r="AN9" s="22">
        <f>CONCATENATE(VLOOKUP(Calculator!$R6,Key!$A$2:$E$982,5,FALSE),Calculator!$C6)</f>
        <v/>
      </c>
      <c r="AO9" s="21">
        <f>Calculator!$AB6</f>
        <v/>
      </c>
      <c r="AP9" s="23">
        <f>Calculator!$V6</f>
        <v/>
      </c>
      <c r="AQ9" s="82" t="n"/>
      <c r="AR9" s="24">
        <f>CONCATENATE(VLOOKUP(Calculator!$W6,Key!$A$2:$E$982,2,FALSE),Calculator!$B6)</f>
        <v/>
      </c>
      <c r="AS9" s="24">
        <f>CONCATENATE(VLOOKUP(Calculator!$W6,Key!$A$2:$E$982,3,FALSE),Calculator!$B6)</f>
        <v/>
      </c>
      <c r="AT9" s="25">
        <f>CONCATENATE(VLOOKUP(Calculator!$W6,Key!$A$2:$E$982,4,FALSE),Calculator!$C6)</f>
        <v/>
      </c>
      <c r="AU9" s="25">
        <f>CONCATENATE(VLOOKUP(Calculator!$W6,Key!$A$2:$E$982,5,FALSE),Calculator!$C6)</f>
        <v/>
      </c>
      <c r="AV9" s="24">
        <f>Calculator!$AB6</f>
        <v/>
      </c>
      <c r="AW9" s="26">
        <f>Calculator!$AA6</f>
        <v/>
      </c>
      <c r="AX9" s="82" t="n"/>
      <c r="AY9" s="27">
        <f>IF(Calculator!$G6=0,"",Calculator!$G6)</f>
        <v/>
      </c>
      <c r="AZ9" s="29" t="n"/>
    </row>
    <row r="10" ht="36" customHeight="1" s="71">
      <c r="A10" s="87" t="n"/>
      <c r="B10" s="29" t="n"/>
      <c r="C10" s="12" t="n">
        <v>5</v>
      </c>
      <c r="D10" s="97" t="n"/>
      <c r="E10" s="98" t="n"/>
      <c r="F10" s="99" t="inlineStr">
        <is>
          <t>Numerator</t>
        </is>
      </c>
      <c r="J10" s="29" t="n"/>
      <c r="K10" s="29" t="n"/>
      <c r="L10" s="77" t="n"/>
      <c r="M10" s="87" t="inlineStr">
        <is>
          <t>Your pitch is</t>
        </is>
      </c>
      <c r="N10" s="100">
        <f>Calculator!AG5</f>
        <v/>
      </c>
      <c r="P10" s="28" t="inlineStr">
        <is>
          <t>cents above 1/1.</t>
        </is>
      </c>
      <c r="Q10" s="77" t="n"/>
      <c r="R10" s="77" t="n"/>
      <c r="S10" s="29" t="n"/>
      <c r="T10" s="29" t="n"/>
      <c r="U10" s="77" t="n"/>
      <c r="V10" s="77" t="n"/>
      <c r="W10" s="15">
        <f>CONCATENATE(VLOOKUP(Calculator!$H7,Key!$A$2:$E$982,2,FALSE),Calculator!$B7)</f>
        <v/>
      </c>
      <c r="X10" s="15">
        <f>CONCATENATE(VLOOKUP(Calculator!$H7,Key!$A$2:$E$982,3,FALSE),Calculator!$B7)</f>
        <v/>
      </c>
      <c r="Y10" s="16">
        <f>CONCATENATE(VLOOKUP(Calculator!$H7,Key!$A$2:$E$982,4,FALSE),Calculator!$C7)</f>
        <v/>
      </c>
      <c r="Z10" s="16">
        <f>CONCATENATE(VLOOKUP(Calculator!$H7,Key!$A$2:$E$982,5,FALSE),Calculator!$C7)</f>
        <v/>
      </c>
      <c r="AA10" s="15">
        <f>Calculator!$AB7</f>
        <v/>
      </c>
      <c r="AB10" s="17">
        <f>Calculator!$L7</f>
        <v/>
      </c>
      <c r="AC10" s="82" t="n"/>
      <c r="AD10" s="18">
        <f>CONCATENATE(VLOOKUP(Calculator!$M7,Key!$A$2:$E$982,2,FALSE),Calculator!$B7)</f>
        <v/>
      </c>
      <c r="AE10" s="18">
        <f>CONCATENATE(VLOOKUP(Calculator!$M7,Key!$A$2:$E$982,3,FALSE),Calculator!$B7)</f>
        <v/>
      </c>
      <c r="AF10" s="19">
        <f>CONCATENATE(VLOOKUP(Calculator!$M7,Key!$A$2:$E$982,4,FALSE),Calculator!$C7)</f>
        <v/>
      </c>
      <c r="AG10" s="19">
        <f>CONCATENATE(VLOOKUP(Calculator!$M7,Key!$A$2:$E$982,5,FALSE),Calculator!$C7)</f>
        <v/>
      </c>
      <c r="AH10" s="18">
        <f>Calculator!$AB7</f>
        <v/>
      </c>
      <c r="AI10" s="20">
        <f>Calculator!$Q7</f>
        <v/>
      </c>
      <c r="AJ10" s="82" t="n"/>
      <c r="AK10" s="21">
        <f>CONCATENATE(VLOOKUP(Calculator!$R7,Key!$A$2:$E$982,2,FALSE),Calculator!$B7)</f>
        <v/>
      </c>
      <c r="AL10" s="21">
        <f>CONCATENATE(VLOOKUP(Calculator!$R7,Key!$A$2:$E$982,3,FALSE),Calculator!$B7)</f>
        <v/>
      </c>
      <c r="AM10" s="22">
        <f>CONCATENATE(VLOOKUP(Calculator!$R7,Key!$A$2:$E$982,4,FALSE),Calculator!$C7)</f>
        <v/>
      </c>
      <c r="AN10" s="22">
        <f>CONCATENATE(VLOOKUP(Calculator!$R7,Key!$A$2:$E$982,5,FALSE),Calculator!$C7)</f>
        <v/>
      </c>
      <c r="AO10" s="21">
        <f>Calculator!$AB7</f>
        <v/>
      </c>
      <c r="AP10" s="23">
        <f>Calculator!$V7</f>
        <v/>
      </c>
      <c r="AQ10" s="82" t="n"/>
      <c r="AR10" s="24">
        <f>CONCATENATE(VLOOKUP(Calculator!$W7,Key!$A$2:$E$982,2,FALSE),Calculator!$B7)</f>
        <v/>
      </c>
      <c r="AS10" s="24">
        <f>CONCATENATE(VLOOKUP(Calculator!$W7,Key!$A$2:$E$982,3,FALSE),Calculator!$B7)</f>
        <v/>
      </c>
      <c r="AT10" s="25">
        <f>CONCATENATE(VLOOKUP(Calculator!$W7,Key!$A$2:$E$982,4,FALSE),Calculator!$C7)</f>
        <v/>
      </c>
      <c r="AU10" s="25">
        <f>CONCATENATE(VLOOKUP(Calculator!$W7,Key!$A$2:$E$982,5,FALSE),Calculator!$C7)</f>
        <v/>
      </c>
      <c r="AV10" s="24">
        <f>Calculator!$AB7</f>
        <v/>
      </c>
      <c r="AW10" s="26">
        <f>Calculator!$AA7</f>
        <v/>
      </c>
      <c r="AX10" s="82" t="n"/>
      <c r="AY10" s="27">
        <f>IF(Calculator!$G7=0,"",Calculator!$G7)</f>
        <v/>
      </c>
      <c r="AZ10" s="29" t="n"/>
    </row>
    <row r="11" ht="36" customHeight="1" s="71">
      <c r="A11" s="29" t="n"/>
      <c r="B11" s="29" t="n"/>
      <c r="C11" s="101" t="n">
        <v>4</v>
      </c>
      <c r="D11" s="97" t="n"/>
      <c r="E11" s="98" t="n"/>
      <c r="F11" s="102" t="inlineStr">
        <is>
          <t>Denominator</t>
        </is>
      </c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77" t="n"/>
      <c r="V11" s="77" t="n"/>
      <c r="W11" s="15">
        <f>CONCATENATE(VLOOKUP(Calculator!$H8,Key!$A$2:$E$982,2,FALSE),Calculator!$B8)</f>
        <v/>
      </c>
      <c r="X11" s="15">
        <f>CONCATENATE(VLOOKUP(Calculator!$H8,Key!$A$2:$E$982,3,FALSE),Calculator!$B8)</f>
        <v/>
      </c>
      <c r="Y11" s="16">
        <f>CONCATENATE(VLOOKUP(Calculator!$H8,Key!$A$2:$E$982,4,FALSE),Calculator!$C8)</f>
        <v/>
      </c>
      <c r="Z11" s="16">
        <f>CONCATENATE(VLOOKUP(Calculator!$H8,Key!$A$2:$E$982,5,FALSE),Calculator!$C8)</f>
        <v/>
      </c>
      <c r="AA11" s="15">
        <f>Calculator!$AB8</f>
        <v/>
      </c>
      <c r="AB11" s="17">
        <f>Calculator!$L8</f>
        <v/>
      </c>
      <c r="AC11" s="82" t="n"/>
      <c r="AD11" s="18">
        <f>CONCATENATE(VLOOKUP(Calculator!$M8,Key!$A$2:$E$982,2,FALSE),Calculator!$B8)</f>
        <v/>
      </c>
      <c r="AE11" s="18">
        <f>CONCATENATE(VLOOKUP(Calculator!$M8,Key!$A$2:$E$982,3,FALSE),Calculator!$B8)</f>
        <v/>
      </c>
      <c r="AF11" s="19">
        <f>CONCATENATE(VLOOKUP(Calculator!$M8,Key!$A$2:$E$982,4,FALSE),Calculator!$C8)</f>
        <v/>
      </c>
      <c r="AG11" s="19">
        <f>CONCATENATE(VLOOKUP(Calculator!$M8,Key!$A$2:$E$982,5,FALSE),Calculator!$C8)</f>
        <v/>
      </c>
      <c r="AH11" s="18">
        <f>Calculator!$AB8</f>
        <v/>
      </c>
      <c r="AI11" s="20">
        <f>Calculator!$Q8</f>
        <v/>
      </c>
      <c r="AJ11" s="82" t="n"/>
      <c r="AK11" s="21">
        <f>CONCATENATE(VLOOKUP(Calculator!$R8,Key!$A$2:$E$982,2,FALSE),Calculator!$B8)</f>
        <v/>
      </c>
      <c r="AL11" s="21">
        <f>CONCATENATE(VLOOKUP(Calculator!$R8,Key!$A$2:$E$982,3,FALSE),Calculator!$B8)</f>
        <v/>
      </c>
      <c r="AM11" s="22">
        <f>CONCATENATE(VLOOKUP(Calculator!$R8,Key!$A$2:$E$982,4,FALSE),Calculator!$C8)</f>
        <v/>
      </c>
      <c r="AN11" s="22">
        <f>CONCATENATE(VLOOKUP(Calculator!$R8,Key!$A$2:$E$982,5,FALSE),Calculator!$C8)</f>
        <v/>
      </c>
      <c r="AO11" s="21">
        <f>Calculator!$AB8</f>
        <v/>
      </c>
      <c r="AP11" s="23">
        <f>Calculator!$V8</f>
        <v/>
      </c>
      <c r="AQ11" s="82" t="n"/>
      <c r="AR11" s="24">
        <f>CONCATENATE(VLOOKUP(Calculator!$W8,Key!$A$2:$E$982,2,FALSE),Calculator!$B8)</f>
        <v/>
      </c>
      <c r="AS11" s="24">
        <f>CONCATENATE(VLOOKUP(Calculator!$W8,Key!$A$2:$E$982,3,FALSE),Calculator!$B8)</f>
        <v/>
      </c>
      <c r="AT11" s="25">
        <f>CONCATENATE(VLOOKUP(Calculator!$W8,Key!$A$2:$E$982,4,FALSE),Calculator!$C8)</f>
        <v/>
      </c>
      <c r="AU11" s="25">
        <f>CONCATENATE(VLOOKUP(Calculator!$W8,Key!$A$2:$E$982,5,FALSE),Calculator!$C8)</f>
        <v/>
      </c>
      <c r="AV11" s="24">
        <f>Calculator!$AB8</f>
        <v/>
      </c>
      <c r="AW11" s="26">
        <f>Calculator!$AA8</f>
        <v/>
      </c>
      <c r="AX11" s="82" t="n"/>
      <c r="AY11" s="27">
        <f>IF(Calculator!$G8=0,"",Calculator!$G8)</f>
        <v/>
      </c>
      <c r="AZ11" s="29" t="n"/>
    </row>
    <row r="12" ht="36" customHeight="1" s="71">
      <c r="A12" s="4" t="n"/>
      <c r="B12" s="8" t="inlineStr">
        <is>
          <t>Enter a Pythagorean nominal for your 1/1 (from bbF to xB).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87" t="n"/>
      <c r="O12" s="73" t="n"/>
      <c r="P12" s="28" t="n"/>
      <c r="Q12" s="29" t="n"/>
      <c r="R12" s="29" t="n"/>
      <c r="S12" s="29" t="n"/>
      <c r="T12" s="29" t="n"/>
      <c r="U12" s="77" t="n"/>
      <c r="V12" s="77" t="n"/>
      <c r="W12" s="15">
        <f>CONCATENATE(VLOOKUP(Calculator!$H9,Key!$A$2:$E$982,2,FALSE),Calculator!$B9)</f>
        <v/>
      </c>
      <c r="X12" s="15">
        <f>CONCATENATE(VLOOKUP(Calculator!$H9,Key!$A$2:$E$982,3,FALSE),Calculator!$B9)</f>
        <v/>
      </c>
      <c r="Y12" s="16">
        <f>CONCATENATE(VLOOKUP(Calculator!$H9,Key!$A$2:$E$982,4,FALSE),Calculator!$C9)</f>
        <v/>
      </c>
      <c r="Z12" s="16">
        <f>CONCATENATE(VLOOKUP(Calculator!$H9,Key!$A$2:$E$982,5,FALSE),Calculator!$C9)</f>
        <v/>
      </c>
      <c r="AA12" s="15">
        <f>Calculator!$AB9</f>
        <v/>
      </c>
      <c r="AB12" s="17">
        <f>Calculator!$L9</f>
        <v/>
      </c>
      <c r="AC12" s="82" t="n"/>
      <c r="AD12" s="18">
        <f>CONCATENATE(VLOOKUP(Calculator!$M9,Key!$A$2:$E$982,2,FALSE),Calculator!$B9)</f>
        <v/>
      </c>
      <c r="AE12" s="18">
        <f>CONCATENATE(VLOOKUP(Calculator!$M9,Key!$A$2:$E$982,3,FALSE),Calculator!$B9)</f>
        <v/>
      </c>
      <c r="AF12" s="19">
        <f>CONCATENATE(VLOOKUP(Calculator!$M9,Key!$A$2:$E$982,4,FALSE),Calculator!$C9)</f>
        <v/>
      </c>
      <c r="AG12" s="19">
        <f>CONCATENATE(VLOOKUP(Calculator!$M9,Key!$A$2:$E$982,5,FALSE),Calculator!$C9)</f>
        <v/>
      </c>
      <c r="AH12" s="18">
        <f>Calculator!$AB9</f>
        <v/>
      </c>
      <c r="AI12" s="20">
        <f>Calculator!$Q9</f>
        <v/>
      </c>
      <c r="AJ12" s="82" t="n"/>
      <c r="AK12" s="21">
        <f>CONCATENATE(VLOOKUP(Calculator!$R9,Key!$A$2:$E$982,2,FALSE),Calculator!$B9)</f>
        <v/>
      </c>
      <c r="AL12" s="21">
        <f>CONCATENATE(VLOOKUP(Calculator!$R9,Key!$A$2:$E$982,3,FALSE),Calculator!$B9)</f>
        <v/>
      </c>
      <c r="AM12" s="22">
        <f>CONCATENATE(VLOOKUP(Calculator!$R9,Key!$A$2:$E$982,4,FALSE),Calculator!$C9)</f>
        <v/>
      </c>
      <c r="AN12" s="22">
        <f>CONCATENATE(VLOOKUP(Calculator!$R9,Key!$A$2:$E$982,5,FALSE),Calculator!$C9)</f>
        <v/>
      </c>
      <c r="AO12" s="21">
        <f>Calculator!$AB9</f>
        <v/>
      </c>
      <c r="AP12" s="23">
        <f>Calculator!$V9</f>
        <v/>
      </c>
      <c r="AQ12" s="82" t="n"/>
      <c r="AR12" s="24">
        <f>CONCATENATE(VLOOKUP(Calculator!$W9,Key!$A$2:$E$982,2,FALSE),Calculator!$B9)</f>
        <v/>
      </c>
      <c r="AS12" s="24">
        <f>CONCATENATE(VLOOKUP(Calculator!$W9,Key!$A$2:$E$982,3,FALSE),Calculator!$B9)</f>
        <v/>
      </c>
      <c r="AT12" s="25">
        <f>CONCATENATE(VLOOKUP(Calculator!$W9,Key!$A$2:$E$982,4,FALSE),Calculator!$C9)</f>
        <v/>
      </c>
      <c r="AU12" s="25">
        <f>CONCATENATE(VLOOKUP(Calculator!$W9,Key!$A$2:$E$982,5,FALSE),Calculator!$C9)</f>
        <v/>
      </c>
      <c r="AV12" s="24">
        <f>Calculator!$AB9</f>
        <v/>
      </c>
      <c r="AW12" s="26">
        <f>Calculator!$AA9</f>
        <v/>
      </c>
      <c r="AX12" s="82" t="n"/>
      <c r="AY12" s="27">
        <f>IF(Calculator!$G9=0,"",Calculator!$G9)</f>
        <v/>
      </c>
      <c r="AZ12" s="29" t="n"/>
    </row>
    <row r="13" ht="36" customHeight="1" s="71">
      <c r="A13" s="73" t="n"/>
      <c r="B13" s="30" t="inlineStr">
        <is>
          <t>1/1 =</t>
        </is>
      </c>
      <c r="C13" s="103" t="inlineStr">
        <is>
          <t>C</t>
        </is>
      </c>
      <c r="D13" s="97" t="n"/>
      <c r="E13" s="98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77" t="n"/>
      <c r="V13" s="77" t="n"/>
      <c r="W13" s="15">
        <f>CONCATENATE(VLOOKUP(Calculator!$H10,Key!$A$2:$E$982,2,FALSE),Calculator!$B10)</f>
        <v/>
      </c>
      <c r="X13" s="15">
        <f>CONCATENATE(VLOOKUP(Calculator!$H10,Key!$A$2:$E$982,3,FALSE),Calculator!$B10)</f>
        <v/>
      </c>
      <c r="Y13" s="16">
        <f>CONCATENATE(VLOOKUP(Calculator!$H10,Key!$A$2:$E$982,4,FALSE),Calculator!$C10)</f>
        <v/>
      </c>
      <c r="Z13" s="16">
        <f>CONCATENATE(VLOOKUP(Calculator!$H10,Key!$A$2:$E$982,5,FALSE),Calculator!$C10)</f>
        <v/>
      </c>
      <c r="AA13" s="15">
        <f>Calculator!$AB10</f>
        <v/>
      </c>
      <c r="AB13" s="17">
        <f>Calculator!$L10</f>
        <v/>
      </c>
      <c r="AC13" s="82" t="n"/>
      <c r="AD13" s="18">
        <f>CONCATENATE(VLOOKUP(Calculator!$M10,Key!$A$2:$E$982,2,FALSE),Calculator!$B10)</f>
        <v/>
      </c>
      <c r="AE13" s="18">
        <f>CONCATENATE(VLOOKUP(Calculator!$M10,Key!$A$2:$E$982,3,FALSE),Calculator!$B10)</f>
        <v/>
      </c>
      <c r="AF13" s="19">
        <f>CONCATENATE(VLOOKUP(Calculator!$M10,Key!$A$2:$E$982,4,FALSE),Calculator!$C10)</f>
        <v/>
      </c>
      <c r="AG13" s="19">
        <f>CONCATENATE(VLOOKUP(Calculator!$M10,Key!$A$2:$E$982,5,FALSE),Calculator!$C10)</f>
        <v/>
      </c>
      <c r="AH13" s="18">
        <f>Calculator!$AB10</f>
        <v/>
      </c>
      <c r="AI13" s="20">
        <f>Calculator!$Q10</f>
        <v/>
      </c>
      <c r="AJ13" s="82" t="n"/>
      <c r="AK13" s="21">
        <f>CONCATENATE(VLOOKUP(Calculator!$R10,Key!$A$2:$E$982,2,FALSE),Calculator!$B10)</f>
        <v/>
      </c>
      <c r="AL13" s="21">
        <f>CONCATENATE(VLOOKUP(Calculator!$R10,Key!$A$2:$E$982,3,FALSE),Calculator!$B10)</f>
        <v/>
      </c>
      <c r="AM13" s="22">
        <f>CONCATENATE(VLOOKUP(Calculator!$R10,Key!$A$2:$E$982,4,FALSE),Calculator!$C10)</f>
        <v/>
      </c>
      <c r="AN13" s="22">
        <f>CONCATENATE(VLOOKUP(Calculator!$R10,Key!$A$2:$E$982,5,FALSE),Calculator!$C10)</f>
        <v/>
      </c>
      <c r="AO13" s="21">
        <f>Calculator!$AB10</f>
        <v/>
      </c>
      <c r="AP13" s="23">
        <f>Calculator!$V10</f>
        <v/>
      </c>
      <c r="AQ13" s="82" t="n"/>
      <c r="AR13" s="24">
        <f>CONCATENATE(VLOOKUP(Calculator!$W10,Key!$A$2:$E$982,2,FALSE),Calculator!$B10)</f>
        <v/>
      </c>
      <c r="AS13" s="24">
        <f>CONCATENATE(VLOOKUP(Calculator!$W10,Key!$A$2:$E$982,3,FALSE),Calculator!$B10)</f>
        <v/>
      </c>
      <c r="AT13" s="25">
        <f>CONCATENATE(VLOOKUP(Calculator!$W10,Key!$A$2:$E$982,4,FALSE),Calculator!$C10)</f>
        <v/>
      </c>
      <c r="AU13" s="25">
        <f>CONCATENATE(VLOOKUP(Calculator!$W10,Key!$A$2:$E$982,5,FALSE),Calculator!$C10)</f>
        <v/>
      </c>
      <c r="AV13" s="24">
        <f>Calculator!$AB10</f>
        <v/>
      </c>
      <c r="AW13" s="26">
        <f>Calculator!$AA10</f>
        <v/>
      </c>
      <c r="AX13" s="82" t="n"/>
      <c r="AY13" s="27">
        <f>IF(Calculator!$G10=0,"",Calculator!$G10)</f>
        <v/>
      </c>
      <c r="AZ13" s="29" t="n"/>
    </row>
    <row r="14" ht="36" customHeight="1" s="71">
      <c r="A14" s="73" t="n"/>
      <c r="B14" s="29" t="n"/>
      <c r="C14" s="29" t="inlineStr">
        <is>
          <t xml:space="preserve">To view the Unicode characters, you must install the Bravura font.
Support for installing Bravura font can be found here: </t>
        </is>
      </c>
      <c r="D14" s="29" t="n"/>
      <c r="E14" s="29" t="n"/>
      <c r="F14" s="29" t="n"/>
      <c r="G14" s="29" t="n"/>
      <c r="H14" s="29" t="n"/>
      <c r="I14" s="29" t="n"/>
      <c r="J14" s="62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77" t="n"/>
      <c r="V14" s="77" t="n"/>
      <c r="W14" s="15">
        <f>CONCATENATE(VLOOKUP(Calculator!$H11,Key!$A$2:$E$982,2,FALSE),Calculator!$B11)</f>
        <v/>
      </c>
      <c r="X14" s="15">
        <f>CONCATENATE(VLOOKUP(Calculator!$H11,Key!$A$2:$E$982,3,FALSE),Calculator!$B11)</f>
        <v/>
      </c>
      <c r="Y14" s="16">
        <f>CONCATENATE(VLOOKUP(Calculator!$H11,Key!$A$2:$E$982,4,FALSE),Calculator!$C11)</f>
        <v/>
      </c>
      <c r="Z14" s="16">
        <f>CONCATENATE(VLOOKUP(Calculator!$H11,Key!$A$2:$E$982,5,FALSE),Calculator!$C11)</f>
        <v/>
      </c>
      <c r="AA14" s="15">
        <f>Calculator!$AB11</f>
        <v/>
      </c>
      <c r="AB14" s="17">
        <f>Calculator!$L11</f>
        <v/>
      </c>
      <c r="AC14" s="82" t="n"/>
      <c r="AD14" s="18">
        <f>CONCATENATE(VLOOKUP(Calculator!$M11,Key!$A$2:$E$982,2,FALSE),Calculator!$B11)</f>
        <v/>
      </c>
      <c r="AE14" s="18">
        <f>CONCATENATE(VLOOKUP(Calculator!$M11,Key!$A$2:$E$982,3,FALSE),Calculator!$B11)</f>
        <v/>
      </c>
      <c r="AF14" s="19">
        <f>CONCATENATE(VLOOKUP(Calculator!$M11,Key!$A$2:$E$982,4,FALSE),Calculator!$C11)</f>
        <v/>
      </c>
      <c r="AG14" s="19">
        <f>CONCATENATE(VLOOKUP(Calculator!$M11,Key!$A$2:$E$982,5,FALSE),Calculator!$C11)</f>
        <v/>
      </c>
      <c r="AH14" s="18">
        <f>Calculator!$AB11</f>
        <v/>
      </c>
      <c r="AI14" s="20">
        <f>Calculator!$Q11</f>
        <v/>
      </c>
      <c r="AJ14" s="82" t="n"/>
      <c r="AK14" s="21">
        <f>CONCATENATE(VLOOKUP(Calculator!$R11,Key!$A$2:$E$982,2,FALSE),Calculator!$B11)</f>
        <v/>
      </c>
      <c r="AL14" s="21">
        <f>CONCATENATE(VLOOKUP(Calculator!$R11,Key!$A$2:$E$982,3,FALSE),Calculator!$B11)</f>
        <v/>
      </c>
      <c r="AM14" s="22">
        <f>CONCATENATE(VLOOKUP(Calculator!$R11,Key!$A$2:$E$982,4,FALSE),Calculator!$C11)</f>
        <v/>
      </c>
      <c r="AN14" s="22">
        <f>CONCATENATE(VLOOKUP(Calculator!$R11,Key!$A$2:$E$982,5,FALSE),Calculator!$C11)</f>
        <v/>
      </c>
      <c r="AO14" s="21">
        <f>Calculator!$AB11</f>
        <v/>
      </c>
      <c r="AP14" s="23">
        <f>Calculator!$V11</f>
        <v/>
      </c>
      <c r="AQ14" s="82" t="n"/>
      <c r="AR14" s="24">
        <f>CONCATENATE(VLOOKUP(Calculator!$W11,Key!$A$2:$E$982,2,FALSE),Calculator!$B11)</f>
        <v/>
      </c>
      <c r="AS14" s="24">
        <f>CONCATENATE(VLOOKUP(Calculator!$W11,Key!$A$2:$E$982,3,FALSE),Calculator!$B11)</f>
        <v/>
      </c>
      <c r="AT14" s="25">
        <f>CONCATENATE(VLOOKUP(Calculator!$W11,Key!$A$2:$E$982,4,FALSE),Calculator!$C11)</f>
        <v/>
      </c>
      <c r="AU14" s="25">
        <f>CONCATENATE(VLOOKUP(Calculator!$W11,Key!$A$2:$E$982,5,FALSE),Calculator!$C11)</f>
        <v/>
      </c>
      <c r="AV14" s="24">
        <f>Calculator!$AB11</f>
        <v/>
      </c>
      <c r="AW14" s="26">
        <f>Calculator!$AA11</f>
        <v/>
      </c>
      <c r="AX14" s="82" t="n"/>
      <c r="AY14" s="27">
        <f>IF(Calculator!$G11=0,"",Calculator!$G11)</f>
        <v/>
      </c>
      <c r="AZ14" s="29" t="n"/>
    </row>
    <row r="15" ht="36" customHeight="1" s="71">
      <c r="A15" s="73" t="n"/>
      <c r="B15" s="29" t="n"/>
      <c r="C15" s="32" t="inlineStr">
        <is>
          <t>http://forum.sagittal.org/viewtopic.php?f=16&amp;t=429</t>
        </is>
      </c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77" t="n"/>
      <c r="V15" s="77" t="n"/>
      <c r="W15" s="15">
        <f>CONCATENATE(VLOOKUP(Calculator!$H12,Key!$A$2:$E$982,2,FALSE),Calculator!$B12)</f>
        <v/>
      </c>
      <c r="X15" s="15">
        <f>CONCATENATE(VLOOKUP(Calculator!$H12,Key!$A$2:$E$982,3,FALSE),Calculator!$B12)</f>
        <v/>
      </c>
      <c r="Y15" s="16">
        <f>CONCATENATE(VLOOKUP(Calculator!$H12,Key!$A$2:$E$982,4,FALSE),Calculator!$C12)</f>
        <v/>
      </c>
      <c r="Z15" s="16">
        <f>CONCATENATE(VLOOKUP(Calculator!$H12,Key!$A$2:$E$982,5,FALSE),Calculator!$C12)</f>
        <v/>
      </c>
      <c r="AA15" s="15">
        <f>Calculator!$AB12</f>
        <v/>
      </c>
      <c r="AB15" s="17">
        <f>Calculator!$L12</f>
        <v/>
      </c>
      <c r="AC15" s="82" t="n"/>
      <c r="AD15" s="18">
        <f>CONCATENATE(VLOOKUP(Calculator!$M12,Key!$A$2:$E$982,2,FALSE),Calculator!$B12)</f>
        <v/>
      </c>
      <c r="AE15" s="18">
        <f>CONCATENATE(VLOOKUP(Calculator!$M12,Key!$A$2:$E$982,3,FALSE),Calculator!$B12)</f>
        <v/>
      </c>
      <c r="AF15" s="19">
        <f>CONCATENATE(VLOOKUP(Calculator!$M12,Key!$A$2:$E$982,4,FALSE),Calculator!$C12)</f>
        <v/>
      </c>
      <c r="AG15" s="19">
        <f>CONCATENATE(VLOOKUP(Calculator!$M12,Key!$A$2:$E$982,5,FALSE),Calculator!$C12)</f>
        <v/>
      </c>
      <c r="AH15" s="18">
        <f>Calculator!$AB12</f>
        <v/>
      </c>
      <c r="AI15" s="20">
        <f>Calculator!$Q12</f>
        <v/>
      </c>
      <c r="AJ15" s="82" t="n"/>
      <c r="AK15" s="21">
        <f>CONCATENATE(VLOOKUP(Calculator!$R12,Key!$A$2:$E$982,2,FALSE),Calculator!$B12)</f>
        <v/>
      </c>
      <c r="AL15" s="21">
        <f>CONCATENATE(VLOOKUP(Calculator!$R12,Key!$A$2:$E$982,3,FALSE),Calculator!$B12)</f>
        <v/>
      </c>
      <c r="AM15" s="22">
        <f>CONCATENATE(VLOOKUP(Calculator!$R12,Key!$A$2:$E$982,4,FALSE),Calculator!$C12)</f>
        <v/>
      </c>
      <c r="AN15" s="22">
        <f>CONCATENATE(VLOOKUP(Calculator!$R12,Key!$A$2:$E$982,5,FALSE),Calculator!$C12)</f>
        <v/>
      </c>
      <c r="AO15" s="21">
        <f>Calculator!$AB12</f>
        <v/>
      </c>
      <c r="AP15" s="23">
        <f>Calculator!$V12</f>
        <v/>
      </c>
      <c r="AQ15" s="82" t="n"/>
      <c r="AR15" s="24">
        <f>CONCATENATE(VLOOKUP(Calculator!$W12,Key!$A$2:$E$982,2,FALSE),Calculator!$B12)</f>
        <v/>
      </c>
      <c r="AS15" s="24">
        <f>CONCATENATE(VLOOKUP(Calculator!$W12,Key!$A$2:$E$982,3,FALSE),Calculator!$B12)</f>
        <v/>
      </c>
      <c r="AT15" s="25">
        <f>CONCATENATE(VLOOKUP(Calculator!$W12,Key!$A$2:$E$982,4,FALSE),Calculator!$C12)</f>
        <v/>
      </c>
      <c r="AU15" s="25">
        <f>CONCATENATE(VLOOKUP(Calculator!$W12,Key!$A$2:$E$982,5,FALSE),Calculator!$C12)</f>
        <v/>
      </c>
      <c r="AV15" s="24">
        <f>Calculator!$AB12</f>
        <v/>
      </c>
      <c r="AW15" s="26">
        <f>Calculator!$AA12</f>
        <v/>
      </c>
      <c r="AX15" s="82" t="n"/>
      <c r="AY15" s="27">
        <f>IF(Calculator!$G12=0,"",Calculator!$G12)</f>
        <v/>
      </c>
      <c r="AZ15" s="29" t="n"/>
    </row>
    <row r="16" ht="13.5" customHeight="1" s="71">
      <c r="A16" s="77" t="n"/>
      <c r="B16" s="29" t="n"/>
      <c r="C16" s="29" t="inlineStr">
        <is>
          <t>Standard JI notation precision levels are visualized here:</t>
        </is>
      </c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29" t="n"/>
      <c r="AB16" s="29" t="n"/>
      <c r="AC16" s="29" t="n"/>
      <c r="AD16" s="29" t="n"/>
      <c r="AE16" s="29" t="n"/>
      <c r="AF16" s="29" t="n"/>
      <c r="AG16" s="29" t="n"/>
      <c r="AH16" s="29" t="n"/>
      <c r="AI16" s="29" t="n"/>
      <c r="AJ16" s="29" t="n"/>
      <c r="AK16" s="29" t="n"/>
      <c r="AL16" s="29" t="n"/>
      <c r="AM16" s="29" t="n"/>
      <c r="AN16" s="29" t="n"/>
      <c r="AO16" s="29" t="n"/>
      <c r="AP16" s="29" t="n"/>
      <c r="AQ16" s="29" t="n"/>
      <c r="AR16" s="29" t="n"/>
      <c r="AS16" s="29" t="n"/>
      <c r="AT16" s="29" t="n"/>
      <c r="AU16" s="29" t="n"/>
      <c r="AV16" s="29" t="n"/>
      <c r="AW16" s="29" t="n"/>
      <c r="AX16" s="29" t="n"/>
      <c r="AY16" s="29" t="n"/>
      <c r="AZ16" s="29" t="n"/>
    </row>
    <row r="17" ht="13.5" customHeight="1" s="71">
      <c r="A17" s="77" t="n"/>
      <c r="B17" s="29" t="n"/>
      <c r="C17" s="33" t="inlineStr">
        <is>
          <t>http://sagittal.org/SagittalJI.gif</t>
        </is>
      </c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8" t="n"/>
      <c r="V17" s="8" t="n"/>
      <c r="W17" s="29" t="n"/>
      <c r="X17" s="8" t="n"/>
      <c r="Y17" s="8" t="n"/>
      <c r="Z17" s="8" t="n"/>
      <c r="AA17" s="8" t="n"/>
      <c r="AB17" s="8" t="n"/>
      <c r="AC17" s="29" t="n"/>
      <c r="AD17" s="34" t="inlineStr">
        <is>
          <t>*This notation is not recommended.</t>
        </is>
      </c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34" t="inlineStr">
        <is>
          <t>**Note that if the ASCII above shows commas , or back-quotes `</t>
        </is>
      </c>
      <c r="AS17" s="29" t="n"/>
      <c r="AT17" s="29" t="n"/>
      <c r="AU17" s="29" t="n"/>
      <c r="AV17" s="29" t="n"/>
      <c r="AW17" s="29" t="n"/>
      <c r="AX17" s="29" t="n"/>
      <c r="AY17" s="29" t="n"/>
      <c r="AZ17" s="29" t="n"/>
    </row>
    <row r="18" ht="13.5" customHeight="1" s="71">
      <c r="A18" s="77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29" t="n"/>
      <c r="AF18" s="29" t="n"/>
      <c r="AG18" s="29" t="n"/>
      <c r="AH18" s="29" t="n"/>
      <c r="AI18" s="29" t="n"/>
      <c r="AJ18" s="29" t="n"/>
      <c r="AK18" s="29" t="n"/>
      <c r="AL18" s="29" t="n"/>
      <c r="AM18" s="29" t="n"/>
      <c r="AN18" s="29" t="n"/>
      <c r="AO18" s="29" t="n"/>
      <c r="AP18" s="29" t="n"/>
      <c r="AQ18" s="29" t="n"/>
      <c r="AR18" s="34" t="inlineStr">
        <is>
          <t xml:space="preserve">the unicode above will not be correct </t>
        </is>
      </c>
      <c r="AS18" s="29" t="n"/>
      <c r="AT18" s="29" t="n"/>
      <c r="AU18" s="29" t="n"/>
      <c r="AV18" s="29" t="n"/>
      <c r="AW18" s="29" t="n"/>
      <c r="AX18" s="29" t="n"/>
      <c r="AY18" s="29" t="n"/>
      <c r="AZ18" s="29" t="n"/>
    </row>
    <row r="19" ht="13.5" customHeight="1" s="71">
      <c r="A19" s="77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  <c r="AE19" s="29" t="n"/>
      <c r="AF19" s="29" t="n"/>
      <c r="AG19" s="29" t="n"/>
      <c r="AH19" s="29" t="n"/>
      <c r="AI19" s="29" t="n"/>
      <c r="AJ19" s="29" t="n"/>
      <c r="AK19" s="29" t="n"/>
      <c r="AL19" s="29" t="n"/>
      <c r="AM19" s="29" t="n"/>
      <c r="AN19" s="29" t="n"/>
      <c r="AO19" s="29" t="n"/>
      <c r="AP19" s="29" t="n"/>
      <c r="AQ19" s="29" t="n"/>
      <c r="AR19" s="34" t="inlineStr">
        <is>
          <t>until the breves (mina diacritics) are added to the Bravura font.</t>
        </is>
      </c>
      <c r="AS19" s="29" t="n"/>
      <c r="AT19" s="29" t="n"/>
      <c r="AU19" s="29" t="n"/>
      <c r="AV19" s="29" t="n"/>
      <c r="AW19" s="29" t="n"/>
      <c r="AX19" s="29" t="n"/>
      <c r="AY19" s="29" t="n"/>
      <c r="AZ19" s="29" t="n"/>
    </row>
    <row r="20" ht="13.5" customHeight="1" s="71">
      <c r="A20" s="77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29" t="n"/>
      <c r="AL20" s="29" t="n"/>
      <c r="AM20" s="29" t="n"/>
      <c r="AN20" s="29" t="n"/>
      <c r="AO20" s="29" t="n"/>
      <c r="AP20" s="29" t="n"/>
      <c r="AQ20" s="29" t="n"/>
      <c r="AR20" s="50" t="n"/>
      <c r="AS20" s="29" t="n"/>
      <c r="AT20" s="29" t="n"/>
      <c r="AU20" s="29" t="n"/>
      <c r="AV20" s="29" t="n"/>
      <c r="AW20" s="29" t="n"/>
      <c r="AX20" s="29" t="n"/>
      <c r="AY20" s="29" t="n"/>
      <c r="AZ20" s="29" t="n"/>
    </row>
  </sheetData>
  <mergeCells count="44">
    <mergeCell ref="AW7:AW8"/>
    <mergeCell ref="AO7:AO8"/>
    <mergeCell ref="AP7:AP8"/>
    <mergeCell ref="AR7:AS7"/>
    <mergeCell ref="AT7:AU7"/>
    <mergeCell ref="AV7:AV8"/>
    <mergeCell ref="C13:E13"/>
    <mergeCell ref="B2:S3"/>
    <mergeCell ref="AD2:AI2"/>
    <mergeCell ref="AR2:AW2"/>
    <mergeCell ref="AY2:AY8"/>
    <mergeCell ref="AR3:AW3"/>
    <mergeCell ref="AR4:AW4"/>
    <mergeCell ref="AK6:AP6"/>
    <mergeCell ref="AA7:AA8"/>
    <mergeCell ref="AB7:AB8"/>
    <mergeCell ref="AD7:AE7"/>
    <mergeCell ref="AF7:AG7"/>
    <mergeCell ref="AH7:AH8"/>
    <mergeCell ref="AI7:AI8"/>
    <mergeCell ref="AK7:AL7"/>
    <mergeCell ref="AM7:AN7"/>
    <mergeCell ref="C10:E10"/>
    <mergeCell ref="F10:I10"/>
    <mergeCell ref="N10:O10"/>
    <mergeCell ref="C11:E11"/>
    <mergeCell ref="F11:I11"/>
    <mergeCell ref="W7:X7"/>
    <mergeCell ref="Y7:Z7"/>
    <mergeCell ref="AD3:AI3"/>
    <mergeCell ref="W6:AB6"/>
    <mergeCell ref="AD6:AI6"/>
    <mergeCell ref="W5:AB5"/>
    <mergeCell ref="AD5:AI5"/>
    <mergeCell ref="AK5:AP5"/>
    <mergeCell ref="AR5:AW5"/>
    <mergeCell ref="AR6:AW6"/>
    <mergeCell ref="AK2:AP2"/>
    <mergeCell ref="AK3:AP3"/>
    <mergeCell ref="W3:AB3"/>
    <mergeCell ref="W4:AB4"/>
    <mergeCell ref="AD4:AI4"/>
    <mergeCell ref="AK4:AP4"/>
    <mergeCell ref="W2:AB2"/>
  </mergeCells>
  <conditionalFormatting sqref="W1:AZ20">
    <cfRule type="expression" priority="1" dxfId="2">
      <formula>ISERROR(W1)</formula>
    </cfRule>
  </conditionalFormatting>
  <conditionalFormatting sqref="C8:S8">
    <cfRule type="cellIs" priority="2" operator="notEqual" dxfId="0">
      <formula>0</formula>
    </cfRule>
  </conditionalFormatting>
  <conditionalFormatting sqref="C11:E11 C10:E10">
    <cfRule type="cellIs" priority="3" operator="notEqual" dxfId="0">
      <formula>1</formula>
    </cfRule>
  </conditionalFormatting>
  <hyperlinks>
    <hyperlink xmlns:r="http://schemas.openxmlformats.org/officeDocument/2006/relationships" ref="C15" r:id="rId1"/>
    <hyperlink xmlns:r="http://schemas.openxmlformats.org/officeDocument/2006/relationships" ref="C17" r:id="rId2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K13"/>
  <sheetViews>
    <sheetView workbookViewId="0">
      <selection activeCell="A1" sqref="A1"/>
    </sheetView>
  </sheetViews>
  <sheetFormatPr baseColWidth="10" defaultColWidth="14.3984375" defaultRowHeight="15" customHeight="1"/>
  <cols>
    <col width="11.796875" customWidth="1" style="71" min="1" max="1"/>
    <col width="11.19921875" customWidth="1" style="71" min="2" max="2"/>
    <col width="24" customWidth="1" style="71" min="3" max="3"/>
    <col width="10.19921875" customWidth="1" style="71" min="4" max="5"/>
    <col width="9.19921875" customWidth="1" style="71" min="6" max="6"/>
    <col width="9.796875" customWidth="1" style="71" min="7" max="7"/>
    <col width="9.19921875" customWidth="1" style="71" min="8" max="8"/>
    <col width="7.796875" customWidth="1" style="71" min="9" max="10"/>
    <col width="12.796875" customWidth="1" style="71" min="11" max="11"/>
    <col width="7.796875" customWidth="1" style="71" min="12" max="12"/>
    <col width="8.796875" customWidth="1" style="71" min="13" max="13"/>
    <col width="7.796875" customWidth="1" style="71" min="14" max="15"/>
    <col width="12.796875" customWidth="1" style="71" min="16" max="16"/>
    <col width="7.796875" customWidth="1" style="71" min="17" max="17"/>
    <col width="9.796875" customWidth="1" style="71" min="18" max="20"/>
    <col width="12.796875" customWidth="1" style="71" min="21" max="21"/>
    <col width="7.796875" customWidth="1" style="71" min="22" max="22"/>
    <col width="8.3984375" customWidth="1" style="71" min="23" max="25"/>
    <col width="12.796875" customWidth="1" style="71" min="26" max="26"/>
    <col width="7.796875" customWidth="1" style="71" min="27" max="27"/>
    <col width="9.796875" customWidth="1" style="71" min="28" max="28"/>
    <col width="2.3984375" customWidth="1" style="71" min="29" max="29"/>
    <col width="21.796875" customWidth="1" style="71" min="30" max="30"/>
    <col width="16" customWidth="1" style="71" min="31" max="31"/>
    <col width="2.796875" customWidth="1" style="71" min="32" max="32"/>
    <col width="15.59765625" customWidth="1" style="71" min="34" max="34"/>
    <col width="2.3984375" customWidth="1" style="71" min="35" max="35"/>
  </cols>
  <sheetData>
    <row r="1" ht="15" customHeight="1" s="71">
      <c r="A1" s="36" t="inlineStr">
        <is>
          <t xml:space="preserve">bbFbbCbbGbbDbbAbbEbbBbF bC bG bD bA bE bB F  C  G  D  A  E  B  #F #C #G #D #A #E #B xF xC xG xD xA xE xB 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104" t="inlineStr">
        <is>
          <t>(in case you want to play with this)</t>
        </is>
      </c>
      <c r="AF1" s="4" t="n"/>
      <c r="AG1" s="91" t="inlineStr">
        <is>
          <t>facts about the pitch</t>
        </is>
      </c>
      <c r="AI1" s="4" t="n"/>
      <c r="AJ1" s="104" t="inlineStr">
        <is>
          <t>facts about the 1/1</t>
        </is>
      </c>
    </row>
    <row r="2" ht="15" customHeight="1" s="71">
      <c r="A2" s="28" t="inlineStr">
        <is>
          <t>Full Key and Error Calculation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37" t="n"/>
      <c r="AC2" s="37" t="n"/>
      <c r="AD2" s="38">
        <f>(LOG(3,2)*7-11)*1200</f>
        <v/>
      </c>
      <c r="AE2" s="4" t="inlineStr">
        <is>
          <t>cents in apotome</t>
        </is>
      </c>
      <c r="AF2" s="4" t="n"/>
      <c r="AG2" s="29">
        <f>(3^UI!$C$8)*(5^UI!$D$8)*(7^UI!$E$8)*(11^UI!$F$8)*(13^UI!$G$8)*(17^UI!$H$8)*(19^UI!$I$8)*(23^UI!$J$8)*(29^UI!$K$8)*(31^UI!$L$8)*(37^UI!$M$8)*(41^UI!$N$8)*(43^UI!$O$8)*(47^UI!$P$8)*(53^UI!$Q$8)*(59^UI!$R$8)*(61^UI!$S$8)</f>
        <v/>
      </c>
      <c r="AH2" s="4" t="inlineStr">
        <is>
          <t>monzo multiplier</t>
        </is>
      </c>
      <c r="AI2" s="4" t="n"/>
      <c r="AJ2" s="4">
        <f>UI!$C$8+(FIND(UI!$C$13&amp;REPT(" ",3-LEN(UI!$C$13)),$A$1)-46)/3</f>
        <v/>
      </c>
      <c r="AK2" s="4" t="inlineStr">
        <is>
          <t>fifths above C</t>
        </is>
      </c>
    </row>
    <row r="3" ht="15" customHeight="1" s="71">
      <c r="A3" s="37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29" t="n"/>
      <c r="AA3" s="4" t="n"/>
      <c r="AB3" s="37" t="n"/>
      <c r="AC3" s="37" t="n"/>
      <c r="AD3" s="38">
        <f>Boundaries!N154+0.000000001</f>
        <v/>
      </c>
      <c r="AE3" s="4" t="inlineStr">
        <is>
          <t>cents maximum</t>
        </is>
      </c>
      <c r="AF3" s="4" t="n"/>
      <c r="AG3" s="29">
        <f>UI!$C$10/UI!$C$11</f>
        <v/>
      </c>
      <c r="AH3" s="4" t="inlineStr">
        <is>
          <t>ratio multiplier</t>
        </is>
      </c>
      <c r="AI3" s="4" t="n"/>
      <c r="AJ3" s="4" t="n"/>
      <c r="AK3" s="4" t="n"/>
    </row>
    <row r="4" ht="15" customHeight="1" s="71">
      <c r="A4" s="105" t="inlineStr">
        <is>
          <t>Nominal Base Cents</t>
        </is>
      </c>
      <c r="B4" s="106" t="inlineStr">
        <is>
          <t>Nominal
(if in range)</t>
        </is>
      </c>
      <c r="C4" s="106" t="inlineStr">
        <is>
          <t>Nominal inside notehead
(if in range)</t>
        </is>
      </c>
      <c r="D4" s="106" t="inlineStr">
        <is>
          <t>Sharp/Flat</t>
        </is>
      </c>
      <c r="E4" s="106" t="inlineStr">
        <is>
          <t>Sharp/Flat Key Shift</t>
        </is>
      </c>
      <c r="F4" s="106" t="inlineStr">
        <is>
          <t>Cents</t>
        </is>
      </c>
      <c r="G4" s="106" t="inlineStr">
        <is>
          <t>Alteration</t>
        </is>
      </c>
      <c r="H4" s="95" t="inlineStr">
        <is>
          <t>Medium</t>
        </is>
      </c>
      <c r="M4" s="95" t="inlineStr">
        <is>
          <t>High</t>
        </is>
      </c>
      <c r="R4" s="96" t="inlineStr">
        <is>
          <t>Ultra</t>
        </is>
      </c>
      <c r="W4" s="95" t="inlineStr">
        <is>
          <t>Extreme</t>
        </is>
      </c>
      <c r="AB4" s="106" t="inlineStr">
        <is>
          <t>Fifths above 1/1</t>
        </is>
      </c>
      <c r="AC4" s="4" t="n"/>
      <c r="AD4" s="38">
        <f>AD$3/AD$2</f>
        <v/>
      </c>
      <c r="AE4" s="4" t="inlineStr">
        <is>
          <t>max./apotome</t>
        </is>
      </c>
      <c r="AF4" s="4" t="n"/>
      <c r="AG4" s="29">
        <f>AG2*AG3</f>
        <v/>
      </c>
      <c r="AH4" s="4" t="inlineStr">
        <is>
          <t>total multiplier</t>
        </is>
      </c>
      <c r="AI4" s="4" t="n"/>
      <c r="AJ4" s="4" t="n"/>
      <c r="AK4" s="4" t="n"/>
    </row>
    <row r="5" ht="15" customHeight="1" s="71">
      <c r="H5" s="84" t="inlineStr">
        <is>
          <t>Full Key</t>
        </is>
      </c>
      <c r="I5" s="84" t="inlineStr">
        <is>
          <t>Key</t>
        </is>
      </c>
      <c r="J5" s="84" t="inlineStr">
        <is>
          <t>Symbol</t>
        </is>
      </c>
      <c r="K5" s="84" t="inlineStr">
        <is>
          <t>Default Value</t>
        </is>
      </c>
      <c r="L5" s="84" t="inlineStr">
        <is>
          <t>Error</t>
        </is>
      </c>
      <c r="M5" s="84" t="inlineStr">
        <is>
          <t>Full Key</t>
        </is>
      </c>
      <c r="N5" s="84" t="inlineStr">
        <is>
          <t>Key</t>
        </is>
      </c>
      <c r="O5" s="84" t="inlineStr">
        <is>
          <t>Symbol</t>
        </is>
      </c>
      <c r="P5" s="84" t="inlineStr">
        <is>
          <t>Default Value</t>
        </is>
      </c>
      <c r="Q5" s="84" t="inlineStr">
        <is>
          <t>Error</t>
        </is>
      </c>
      <c r="R5" s="84" t="inlineStr">
        <is>
          <t>Full Key</t>
        </is>
      </c>
      <c r="S5" s="84" t="inlineStr">
        <is>
          <t>Key</t>
        </is>
      </c>
      <c r="T5" s="84" t="inlineStr">
        <is>
          <t>Symbol</t>
        </is>
      </c>
      <c r="U5" s="84" t="inlineStr">
        <is>
          <t>Default Value</t>
        </is>
      </c>
      <c r="V5" s="84" t="inlineStr">
        <is>
          <t>Error</t>
        </is>
      </c>
      <c r="W5" s="84" t="inlineStr">
        <is>
          <t>Full Key</t>
        </is>
      </c>
      <c r="X5" s="84" t="inlineStr">
        <is>
          <t>Key</t>
        </is>
      </c>
      <c r="Y5" s="84" t="inlineStr">
        <is>
          <t>Symbol</t>
        </is>
      </c>
      <c r="Z5" s="84" t="inlineStr">
        <is>
          <t>Default Value</t>
        </is>
      </c>
      <c r="AA5" s="84" t="inlineStr">
        <is>
          <t>Error</t>
        </is>
      </c>
      <c r="AC5" s="4" t="n"/>
      <c r="AD5" s="4" t="n"/>
      <c r="AE5" s="4" t="n"/>
      <c r="AF5" s="4" t="n"/>
      <c r="AG5" s="37">
        <f>MOD(1200*LOG(AG4,2),1200)</f>
        <v/>
      </c>
      <c r="AH5" s="4" t="inlineStr">
        <is>
          <t>cents above 1/1</t>
        </is>
      </c>
      <c r="AI5" s="4" t="n"/>
      <c r="AJ5" s="4" t="n"/>
      <c r="AK5" s="4" t="n"/>
    </row>
    <row r="6" ht="15" customHeight="1" s="71">
      <c r="A6" s="39">
        <f>IF(ABS(AG$8-1200)&lt;300,1200,0)</f>
        <v/>
      </c>
      <c r="B6" s="4">
        <f>IF(ABS(AG$8-A6)&gt;2.000001*AD$2,"","C")</f>
        <v/>
      </c>
      <c r="C6" s="62">
        <f>IF(ABS(AG$8-A6)&gt;2.000001*AD$2,""," ")</f>
        <v/>
      </c>
      <c r="D6" s="4">
        <f>IF(B6="","",IF(AG$8-A6&gt;$AD$2*(1+AD$4),"x",IF(AG$8-A6&gt;AD$2*AD$4,"#",IF(A6-AG$8&gt;AD$2*(1+AD$4),"bb",IF(A6-AG$8&gt;AD$2*AD$4,"b","")))))</f>
        <v/>
      </c>
      <c r="E6" s="62">
        <f>IF(D6="x",2000,IF(D6="#",1000,IF(D6="",0,IF(D6="b",-1000,IF(D6="bb",-2000)))))</f>
        <v/>
      </c>
      <c r="F6" s="37">
        <f>IF(B6="","",IF(AG$8-A6&gt;AD$2*(1+AD$4),A6+AD$2*2,IF(AG$8-A6&gt;AD$2*AD$4,A6+AD$2,IF(A6-AG$8&gt;AD$2*(1+AD$4),A6-2*AD$2,IF(A6-AG$8&gt;AD$2*AD$4,A6-AD$2,A6)))))</f>
        <v/>
      </c>
      <c r="G6" s="39">
        <f>IF(B6="","",IF(ROUND(AG$8-F6,3)=0,0,AG$8-F6))</f>
        <v/>
      </c>
      <c r="H6" s="72">
        <f>IF($G6="",0,I6+$E6)</f>
        <v/>
      </c>
      <c r="I6" s="72">
        <f>IF($G6="","",IF(ROUND($G6,3)=0,0,IF($G6&gt;0,VLOOKUP($G6,Boundaries!$B$5:$C$9153,2,TRUE),-1*VLOOKUP(-1*$G6,Boundaries!$B$5:$C153,2,TRUE))))</f>
        <v/>
      </c>
      <c r="J6" s="72">
        <f>IF(I6="","",VLOOKUP(I6,Key!$A$2:$B$982,2,FALSE))</f>
        <v/>
      </c>
      <c r="K6" s="40">
        <f>IF(I6="","",IF(I6=0,"",IF(I6&gt;0,VLOOKUP(I6,Commas!$A$2:$E$9149,5,FALSE),-1*VLOOKUP(-1*I6,Commas!$A$2:$E$9149,5,FALSE))))</f>
        <v/>
      </c>
      <c r="L6" s="40">
        <f>IF($B6="","",IF($G6="",0,IF(K6="",$G6,ABS($G6-K6))))</f>
        <v/>
      </c>
      <c r="M6" s="72">
        <f>IF($G6="",0,N6+$E6)</f>
        <v/>
      </c>
      <c r="N6" s="72">
        <f>IF($G6="","",IF(ROUND($G6,3)=0,0,IF($G6&gt;0,VLOOKUP($G6,Boundaries!$F$5:$G$9153,2,TRUE),-1*VLOOKUP(-1*$G6,Boundaries!$F$5:$G$9153,2,TRUE))))</f>
        <v/>
      </c>
      <c r="O6" s="72">
        <f>IF(N6="","",VLOOKUP(N6,Key!$A$2:$B$982,2,FALSE))</f>
        <v/>
      </c>
      <c r="P6" s="40">
        <f>IF(N6="","",IF(N6=0,"",IF(N6&gt;0,VLOOKUP(N6,Commas!$A$2:$E$9149,5,FALSE),-1*VLOOKUP(-1*N6,Commas!$A$2:$E$9149,5,FALSE))))</f>
        <v/>
      </c>
      <c r="Q6" s="40">
        <f>IF($B6="","",IF($G6="",0,IF(P6="",$G6,ABS($G6-P6))))</f>
        <v/>
      </c>
      <c r="R6" s="72">
        <f>IF($G6="",0,S6+$E6)</f>
        <v/>
      </c>
      <c r="S6" s="72">
        <f>IF($G6="","",IF(ROUND($G6,3)=0,0,IF($G6&gt;0,VLOOKUP($G6,Boundaries!$J$5:$K$9153,2,TRUE),-1*VLOOKUP(-1*$G6,Boundaries!$J$5:$K$9153,2,TRUE))))</f>
        <v/>
      </c>
      <c r="T6" s="72">
        <f>IF(S6="","",VLOOKUP(S6,Key!$A$2:$B$982,2,FALSE))</f>
        <v/>
      </c>
      <c r="U6" s="40">
        <f>IF(S6="","",IF(S6=0,"",IF(S6&gt;0,VLOOKUP(S6,Commas!$A$2:$E$9149,5,FALSE),-1*VLOOKUP(-1*S6,Commas!$A$2:$E$9149,5,FALSE))))</f>
        <v/>
      </c>
      <c r="V6" s="40">
        <f>IF($B6="","",IF($G6="",0,IF(U6="",0,ABS($G6-U6))))</f>
        <v/>
      </c>
      <c r="W6" s="72">
        <f>IF($G6="",0,X6+$E6)</f>
        <v/>
      </c>
      <c r="X6" s="72">
        <f>IF($G6="","",IF(ROUND($G6,3)=0,0,IF($G6&gt;0,VLOOKUP($G6,Boundaries!$N$5:$O$9153,2,TRUE),-1*VLOOKUP(-1*$G6,Boundaries!$N$5:$O$9153,2,TRUE))))</f>
        <v/>
      </c>
      <c r="Y6" s="72">
        <f>IF(X6="","",VLOOKUP(X6,Key!$A$2:$B$982,2,FALSE))</f>
        <v/>
      </c>
      <c r="Z6" s="40">
        <f>IF(X6="","",IF(X6=0,"",IF(X6&gt;0,VLOOKUP(X6,Commas!$A$2:$E$9149,5,FALSE),-1*VLOOKUP(-1*X6,Commas!$A$2:$E$9149,5,FALSE))))</f>
        <v/>
      </c>
      <c r="AA6" s="40">
        <f>IF($B6="","",IF($G6="",0,IF(Z6="",0,ABS($G6-Z6))))</f>
        <v/>
      </c>
      <c r="AB6" s="4">
        <f>IF(B6&lt;&gt;"",UI!$C$8+(FIND(D6&amp;B6&amp;REPT(" ",3-LEN(D6&amp;B6)),$A$1)-46)/3-AJ$2,"")</f>
        <v/>
      </c>
      <c r="AC6" s="4" t="n"/>
      <c r="AD6" s="4" t="n"/>
      <c r="AE6" s="4" t="n"/>
      <c r="AF6" s="4" t="n"/>
      <c r="AG6" s="29" t="n"/>
      <c r="AH6" s="4" t="n"/>
      <c r="AI6" s="4" t="n"/>
      <c r="AJ6" s="4" t="n"/>
      <c r="AK6" s="4" t="n"/>
    </row>
    <row r="7" ht="15" customHeight="1" s="71">
      <c r="A7" s="39">
        <f>IF(ABS(AG$8-1200*(LN(9/8)/LN(2))-1200)&lt;300,1200*(LN(9/8)/LN(2))+1200,1200*(LN(9/8)/LN(2)))</f>
        <v/>
      </c>
      <c r="B7" s="4">
        <f>IF(ABS(AG$8-A7)&gt;2.000001*AD$2,"","D")</f>
        <v/>
      </c>
      <c r="C7" s="62">
        <f>IF(ABS(AG$8-A7)&gt;2.000001*AD$2,""," ")</f>
        <v/>
      </c>
      <c r="D7" s="4">
        <f>IF(B7="","",IF(AG$8-A7&gt;AD$2*(1+AD$4),"x",IF(AG$8-A7&gt;AD$2*AD$4,"#",IF(A7-AG$8&gt;AD$2*(1+AD$4),"bb",IF(A7-AG$8&gt;AD$2*AD$4,"b","")))))</f>
        <v/>
      </c>
      <c r="E7" s="62">
        <f>IF(D7="x",2000,IF(D7="#",1000,IF(D7="",0,IF(D7="b",-1000,IF(D7="bb",-2000)))))</f>
        <v/>
      </c>
      <c r="F7" s="37">
        <f>IF(B7="","",IF(AG$8-A7&gt;AD$2*(1+AD$4),A7+AD$2*2,IF(AG$8-A7&gt;AD$2*AD$4,A7+AD$2,IF(A7-AG$8&gt;AD$2*(1+AD$4),A7-2*AD$2,IF(A7-AG$8&gt;AD$2*AD$4,A7-AD$2,A7)))))</f>
        <v/>
      </c>
      <c r="G7" s="39">
        <f>IF(B7="","",IF(ROUND(AG$8-F7,3)=0,0,AG$8-F7))</f>
        <v/>
      </c>
      <c r="H7" s="72">
        <f>IF($G7="",0,I7+$E7)</f>
        <v/>
      </c>
      <c r="I7" s="72">
        <f>IF($G7="","",IF(ROUND($G7,3)=0,0,IF($G7&gt;0,VLOOKUP($G7,Boundaries!$B$5:$C$9153,2,TRUE),-1*VLOOKUP(-1*$G7,Boundaries!$B$5:$C154,2,TRUE))))</f>
        <v/>
      </c>
      <c r="J7" s="72">
        <f>IF(I7="","",VLOOKUP(I7,Key!$A$2:$B$982,2,FALSE))</f>
        <v/>
      </c>
      <c r="K7" s="40">
        <f>IF(I7="","",IF(I7=0,"",IF(I7&gt;0,VLOOKUP(I7,Commas!$A$2:$E$9149,5,FALSE),-1*VLOOKUP(-1*I7,Commas!$A$2:$E$9149,5,FALSE))))</f>
        <v/>
      </c>
      <c r="L7" s="40">
        <f>IF($B7="","",IF($G7="",0,IF(K7="",$G7,ABS($G7-K7))))</f>
        <v/>
      </c>
      <c r="M7" s="72">
        <f>IF($G7="",0,N7+$E7)</f>
        <v/>
      </c>
      <c r="N7" s="72">
        <f>IF($G7="","",IF(ROUND($G7,3)=0,0,IF($G7&gt;0,VLOOKUP($G7,Boundaries!$F$5:$G$9153,2,TRUE),-1*VLOOKUP(-1*$G7,Boundaries!$F$5:$G$9153,2,TRUE))))</f>
        <v/>
      </c>
      <c r="O7" s="72">
        <f>IF(N7="","",VLOOKUP(N7,Key!$A$2:$B$982,2,FALSE))</f>
        <v/>
      </c>
      <c r="P7" s="40">
        <f>IF(N7="","",IF(N7=0,"",IF(N7&gt;0,VLOOKUP(N7,Commas!$A$2:$E$9149,5,FALSE),-1*VLOOKUP(-1*N7,Commas!$A$2:$E$9149,5,FALSE))))</f>
        <v/>
      </c>
      <c r="Q7" s="40">
        <f>IF($B7="","",IF($G7="",0,IF(P7="",$G7,ABS($G7-P7))))</f>
        <v/>
      </c>
      <c r="R7" s="72">
        <f>IF($G7="",0,S7+$E7)</f>
        <v/>
      </c>
      <c r="S7" s="72">
        <f>IF($G7="","",IF(ROUND($G7,3)=0,0,IF($G7&gt;0,VLOOKUP($G7,Boundaries!$J$5:$K$9153,2,TRUE),-1*VLOOKUP(-1*$G7,Boundaries!$J$5:$K$9153,2,TRUE))))</f>
        <v/>
      </c>
      <c r="T7" s="72">
        <f>IF(S7="","",VLOOKUP(S7,Key!$A$2:$B$982,2,FALSE))</f>
        <v/>
      </c>
      <c r="U7" s="40">
        <f>IF(S7="","",IF(S7=0,"",IF(S7&gt;0,VLOOKUP(S7,Commas!$A$2:$E$9149,5,FALSE),-1*VLOOKUP(-1*S7,Commas!$A$2:$E$9149,5,FALSE))))</f>
        <v/>
      </c>
      <c r="V7" s="40">
        <f>IF($B7="","",IF($G7="",0,IF(U7="",0,ABS($G7-U7))))</f>
        <v/>
      </c>
      <c r="W7" s="72">
        <f>IF($G7="",0,X7+$E7)</f>
        <v/>
      </c>
      <c r="X7" s="72">
        <f>IF($G7="","",IF(ROUND($G7,3)=0,0,IF($G7&gt;0,VLOOKUP($G7,Boundaries!$N$5:$O$9153,2,TRUE),-1*VLOOKUP(-1*$G7,Boundaries!$N$5:$O$9153,2,TRUE))))</f>
        <v/>
      </c>
      <c r="Y7" s="72">
        <f>IF(X7="","",VLOOKUP(X7,Key!$A$2:$B$982,2,FALSE))</f>
        <v/>
      </c>
      <c r="Z7" s="40">
        <f>IF(X7="","",IF(X7=0,"",IF(X7&gt;0,VLOOKUP(X7,Commas!$A$2:$E$9149,5,FALSE),-1*VLOOKUP(-1*X7,Commas!$A$2:$E$9149,5,FALSE))))</f>
        <v/>
      </c>
      <c r="AA7" s="40">
        <f>IF($B7="","",IF($G7="",0,IF(Z7="",0,ABS($G7-Z7))))</f>
        <v/>
      </c>
      <c r="AB7" s="4">
        <f>IF(B7&lt;&gt;"",UI!$C$8+(FIND(D7&amp;B7&amp;REPT(" ",3-LEN(D7&amp;B7)),$A$1)-46)/3-AJ$2,"")</f>
        <v/>
      </c>
      <c r="AC7" s="4" t="n"/>
      <c r="AD7" s="4" t="n"/>
      <c r="AE7" s="4" t="n"/>
      <c r="AF7" s="4" t="n"/>
      <c r="AG7" s="29">
        <f>(3^((FIND(UI!$C$13&amp;REPT(" ",3-LEN(UI!$C$13)),$A$1)-46)/3))</f>
        <v/>
      </c>
      <c r="AH7" s="4" t="inlineStr">
        <is>
          <t>nominal mulitplier</t>
        </is>
      </c>
      <c r="AI7" s="4" t="n"/>
      <c r="AJ7" s="4" t="n"/>
      <c r="AK7" s="4" t="n"/>
    </row>
    <row r="8" ht="15" customHeight="1" s="71">
      <c r="A8" s="39">
        <f>1200*(LN(81/64)/LN(2))</f>
        <v/>
      </c>
      <c r="B8" s="4">
        <f>IF(ABS(AG$8-A8)&gt;2.000001*AD$2,"","E")</f>
        <v/>
      </c>
      <c r="C8" s="62">
        <f>IF(ABS(AG$8-A8)&gt;2.000001*AD$2,""," ")</f>
        <v/>
      </c>
      <c r="D8" s="4">
        <f>IF(B8="","",IF(AG$8-A8&gt;AD$2*(1+AD$4),"x",IF(AG$8-A8&gt;AD$2*AD$4,"#",IF(A8-AG$8&gt;AD$2*(1+AD$4),"bb",IF(A8-AG$8&gt;AD$2*AD$4,"b","")))))</f>
        <v/>
      </c>
      <c r="E8" s="62">
        <f>IF(D8="x",2000,IF(D8="#",1000,IF(D8="",0,IF(D8="b",-1000,IF(D8="bb",-2000)))))</f>
        <v/>
      </c>
      <c r="F8" s="37">
        <f>IF(B8="","",IF(AG$8-A8&gt;AD$2*(1+AD$4),A8+AD$2*2,IF(AG$8-A8&gt;AD$2*AD$4,A8+AD$2,IF(A8-AG$8&gt;AD$2*(1+AD$4),A8-2*AD$2,IF(A8-AG$8&gt;AD$2*AD$4,A8-AD$2,A8)))))</f>
        <v/>
      </c>
      <c r="G8" s="39">
        <f>IF(B8="","",IF(ROUND(AG$8-F8,3)=0,0,AG$8-F8))</f>
        <v/>
      </c>
      <c r="H8" s="72">
        <f>IF($G8="",0,I8+$E8)</f>
        <v/>
      </c>
      <c r="I8" s="72">
        <f>IF($G8="","",IF(ROUND($G8,3)=0,0,IF($G8&gt;0,VLOOKUP($G8,Boundaries!$B$5:$C$9153,2,TRUE),-1*VLOOKUP(-1*$G8,Boundaries!$B$5:$C155,2,TRUE))))</f>
        <v/>
      </c>
      <c r="J8" s="72">
        <f>IF(I8="","",VLOOKUP(I8,Key!$A$2:$B$982,2,FALSE))</f>
        <v/>
      </c>
      <c r="K8" s="40">
        <f>IF(I8="","",IF(I8=0,"",IF(I8&gt;0,VLOOKUP(I8,Commas!$A$2:$E$9149,5,FALSE),-1*VLOOKUP(-1*I8,Commas!$A$2:$E$9149,5,FALSE))))</f>
        <v/>
      </c>
      <c r="L8" s="40">
        <f>IF($B8="","",IF($G8="",0,IF(K8="",$G8,ABS($G8-K8))))</f>
        <v/>
      </c>
      <c r="M8" s="72">
        <f>IF($G8="",0,N8+$E8)</f>
        <v/>
      </c>
      <c r="N8" s="72">
        <f>IF($G8="","",IF(ROUND($G8,3)=0,0,IF($G8&gt;0,VLOOKUP($G8,Boundaries!$F$5:$G$9153,2,TRUE),-1*VLOOKUP(-1*$G8,Boundaries!$F$5:$G$9153,2,TRUE))))</f>
        <v/>
      </c>
      <c r="O8" s="72">
        <f>IF(N8="","",VLOOKUP(N8,Key!$A$2:$B$982,2,FALSE))</f>
        <v/>
      </c>
      <c r="P8" s="40">
        <f>IF(N8="","",IF(N8=0,"",IF(N8&gt;0,VLOOKUP(N8,Commas!$A$2:$E$9149,5,FALSE),-1*VLOOKUP(-1*N8,Commas!$A$2:$E$9149,5,FALSE))))</f>
        <v/>
      </c>
      <c r="Q8" s="40">
        <f>IF($B8="","",IF($G8="",0,IF(P8="",$G8,ABS($G8-P8))))</f>
        <v/>
      </c>
      <c r="R8" s="72">
        <f>IF($G8="",0,S8+$E8)</f>
        <v/>
      </c>
      <c r="S8" s="72">
        <f>IF($G8="","",IF(ROUND($G8,3)=0,0,IF($G8&gt;0,VLOOKUP($G8,Boundaries!$J$5:$K$9153,2,TRUE),-1*VLOOKUP(-1*$G8,Boundaries!$J$5:$K$9153,2,TRUE))))</f>
        <v/>
      </c>
      <c r="T8" s="72">
        <f>IF(S8="","",VLOOKUP(S8,Key!$A$2:$B$982,2,FALSE))</f>
        <v/>
      </c>
      <c r="U8" s="40">
        <f>IF(S8="","",IF(S8=0,"",IF(S8&gt;0,VLOOKUP(S8,Commas!$A$2:$E$9149,5,FALSE),-1*VLOOKUP(-1*S8,Commas!$A$2:$E$9149,5,FALSE))))</f>
        <v/>
      </c>
      <c r="V8" s="40">
        <f>IF($B8="","",IF($G8="",0,IF(U8="",0,ABS($G8-U8))))</f>
        <v/>
      </c>
      <c r="W8" s="72">
        <f>IF($G8="",0,X8+$E8)</f>
        <v/>
      </c>
      <c r="X8" s="72">
        <f>IF($G8="","",IF(ROUND($G8,3)=0,0,IF($G8&gt;0,VLOOKUP($G8,Boundaries!$N$5:$O$9153,2,TRUE),-1*VLOOKUP(-1*$G8,Boundaries!$N$5:$O$9153,2,TRUE))))</f>
        <v/>
      </c>
      <c r="Y8" s="72">
        <f>IF(X8="","",VLOOKUP(X8,Key!$A$2:$B$982,2,FALSE))</f>
        <v/>
      </c>
      <c r="Z8" s="40">
        <f>IF(X8="","",IF(X8=0,"",IF(X8&gt;0,VLOOKUP(X8,Commas!$A$2:$E$9149,5,FALSE),-1*VLOOKUP(-1*X8,Commas!$A$2:$E$9149,5,FALSE))))</f>
        <v/>
      </c>
      <c r="AA8" s="40">
        <f>IF($B8="","",IF($G8="",0,IF(Z8="",0,ABS($G8-Z8))))</f>
        <v/>
      </c>
      <c r="AB8" s="4">
        <f>IF(B8&lt;&gt;"",UI!$C$8+(FIND(D8&amp;B8&amp;REPT(" ",3-LEN(D8&amp;B8)),$A$1)-46)/3-AJ$2,"")</f>
        <v/>
      </c>
      <c r="AC8" s="4" t="n"/>
      <c r="AD8" s="4" t="n"/>
      <c r="AE8" s="4" t="n"/>
      <c r="AF8" s="4" t="n"/>
      <c r="AG8" s="37">
        <f>MOD(1200*(LOG(AG4*AG7,2)),1200)</f>
        <v/>
      </c>
      <c r="AH8" s="4" t="inlineStr">
        <is>
          <t>cents above C</t>
        </is>
      </c>
      <c r="AI8" s="4" t="n"/>
      <c r="AJ8" s="4" t="n"/>
      <c r="AK8" s="4" t="n"/>
    </row>
    <row r="9" ht="15" customHeight="1" s="71">
      <c r="A9" s="39">
        <f>1200*(LN(4/3)/LN(2))</f>
        <v/>
      </c>
      <c r="B9" s="4">
        <f>IF(ABS(AG$8-A9)&gt;2.000001*AD$2,"","F")</f>
        <v/>
      </c>
      <c r="C9" s="62">
        <f>IF(ABS(AG$8-A9)&gt;2.000001*AD$2,""," ")</f>
        <v/>
      </c>
      <c r="D9" s="4">
        <f>IF(B9="","",IF(AG$8-A9&gt;AD$2*(1+AD$4),"x",IF(AG$8-A9&gt;AD$2*AD$4,"#",IF(A9-AG$8&gt;AD$2*(1+AD$4),"bb",IF(A9-AG$8&gt;AD$2*AD$4,"b","")))))</f>
        <v/>
      </c>
      <c r="E9" s="62">
        <f>IF(D9="x",2000,IF(D9="#",1000,IF(D9="",0,IF(D9="b",-1000,IF(D9="bb",-2000)))))</f>
        <v/>
      </c>
      <c r="F9" s="37">
        <f>IF(B9="","",IF(AG$8-A9&gt;AD$2*(1+AD$4),A9+AD$2*2,IF(AG$8-A9&gt;AD$2*AD$4,A9+AD$2,IF(A9-AG$8&gt;AD$2*(1+AD$4),A9-2*AD$2,IF(A9-AG$8&gt;AD$2*AD$4,A9-AD$2,A9)))))</f>
        <v/>
      </c>
      <c r="G9" s="39">
        <f>IF(B9="","",IF(ROUND(AG$8-F9,3)=0,0,AG$8-F9))</f>
        <v/>
      </c>
      <c r="H9" s="72">
        <f>IF($G9="",0,I9+$E9)</f>
        <v/>
      </c>
      <c r="I9" s="72">
        <f>IF($G9="","",IF(ROUND($G9,3)=0,0,IF($G9&gt;0,VLOOKUP($G9,Boundaries!$B$5:$C$9153,2,TRUE),-1*VLOOKUP(-1*$G9,Boundaries!$B$5:$C156,2,TRUE))))</f>
        <v/>
      </c>
      <c r="J9" s="72">
        <f>IF(I9="","",VLOOKUP(I9,Key!$A$2:$B$982,2,FALSE))</f>
        <v/>
      </c>
      <c r="K9" s="40">
        <f>IF(I9="","",IF(I9=0,"",IF(I9&gt;0,VLOOKUP(I9,Commas!$A$2:$E$9149,5,FALSE),-1*VLOOKUP(-1*I9,Commas!$A$2:$E$9149,5,FALSE))))</f>
        <v/>
      </c>
      <c r="L9" s="40">
        <f>IF($B9="","",IF($G9="",0,IF(K9="",$G9,ABS($G9-K9))))</f>
        <v/>
      </c>
      <c r="M9" s="72">
        <f>IF($G9="",0,N9+$E9)</f>
        <v/>
      </c>
      <c r="N9" s="72">
        <f>IF($G9="","",IF(ROUND($G9,3)=0,0,IF($G9&gt;0,VLOOKUP($G9,Boundaries!$F$5:$G$9153,2,TRUE),-1*VLOOKUP(-1*$G9,Boundaries!$F$5:$G$9153,2,TRUE))))</f>
        <v/>
      </c>
      <c r="O9" s="72">
        <f>IF(N9="","",VLOOKUP(N9,Key!$A$2:$B$982,2,FALSE))</f>
        <v/>
      </c>
      <c r="P9" s="40">
        <f>IF(N9="","",IF(N9=0,"",IF(N9&gt;0,VLOOKUP(N9,Commas!$A$2:$E$9149,5,FALSE),-1*VLOOKUP(-1*N9,Commas!$A$2:$E$9149,5,FALSE))))</f>
        <v/>
      </c>
      <c r="Q9" s="40">
        <f>IF($B9="","",IF($G9="",0,IF(P9="",$G9,ABS($G9-P9))))</f>
        <v/>
      </c>
      <c r="R9" s="72">
        <f>IF($G9="",0,S9+$E9)</f>
        <v/>
      </c>
      <c r="S9" s="72">
        <f>IF($G9="","",IF(ROUND($G9,3)=0,0,IF($G9&gt;0,VLOOKUP($G9,Boundaries!$J$5:$K$9153,2,TRUE),-1*VLOOKUP(-1*$G9,Boundaries!$J$5:$K$9153,2,TRUE))))</f>
        <v/>
      </c>
      <c r="T9" s="72">
        <f>IF(S9="","",VLOOKUP(S9,Key!$A$2:$B$982,2,FALSE))</f>
        <v/>
      </c>
      <c r="U9" s="40">
        <f>IF(S9="","",IF(S9=0,"",IF(S9&gt;0,VLOOKUP(S9,Commas!$A$2:$E$9149,5,FALSE),-1*VLOOKUP(-1*S9,Commas!$A$2:$E$9149,5,FALSE))))</f>
        <v/>
      </c>
      <c r="V9" s="40">
        <f>IF($B9="","",IF($G9="",0,IF(U9="",0,ABS($G9-U9))))</f>
        <v/>
      </c>
      <c r="W9" s="72">
        <f>IF($G9="",0,X9+$E9)</f>
        <v/>
      </c>
      <c r="X9" s="72">
        <f>IF($G9="","",IF(ROUND($G9,3)=0,0,IF($G9&gt;0,VLOOKUP($G9,Boundaries!$N$5:$O$9153,2,TRUE),-1*VLOOKUP(-1*$G9,Boundaries!$N$5:$O$9153,2,TRUE))))</f>
        <v/>
      </c>
      <c r="Y9" s="72">
        <f>IF(X9="","",VLOOKUP(X9,Key!$A$2:$B$982,2,FALSE))</f>
        <v/>
      </c>
      <c r="Z9" s="40">
        <f>IF(X9="","",IF(X9=0,"",IF(X9&gt;0,VLOOKUP(X9,Commas!$A$2:$E$9149,5,FALSE),-1*VLOOKUP(-1*X9,Commas!$A$2:$E$9149,5,FALSE))))</f>
        <v/>
      </c>
      <c r="AA9" s="40">
        <f>IF($B9="","",IF($G9="",0,IF(Z9="",0,ABS($G9-Z9))))</f>
        <v/>
      </c>
      <c r="AB9" s="4">
        <f>IF(B9&lt;&gt;"",UI!$C$8+(FIND(D9&amp;B9&amp;REPT(" ",3-LEN(D9&amp;B9)),$A$1)-46)/3-AJ$2,"")</f>
        <v/>
      </c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 ht="15" customHeight="1" s="71">
      <c r="A10" s="39">
        <f>1200*(LN(3/2)/LN(2))</f>
        <v/>
      </c>
      <c r="B10" s="4">
        <f>IF(ABS(AG$8-A10)&gt;2.000001*AD$2,"","G")</f>
        <v/>
      </c>
      <c r="C10" s="62">
        <f>IF(ABS(AG$8-A10)&gt;2.000001*AD$2,""," ")</f>
        <v/>
      </c>
      <c r="D10" s="4">
        <f>IF(B10="","",IF(AG$8-A10&gt;AD$2*(1+AD$4),"x",IF(AG$8-A10&gt;AD$2*AD$4,"#",IF(A10-AG$8&gt;AD$2*(1+AD$4),"bb",IF(A10-AG$8&gt;AD$2*AD$4,"b","")))))</f>
        <v/>
      </c>
      <c r="E10" s="62">
        <f>IF(D10="x",2000,IF(D10="#",1000,IF(D10="",0,IF(D10="b",-1000,IF(D10="bb",-2000)))))</f>
        <v/>
      </c>
      <c r="F10" s="37">
        <f>IF(B10="","",IF(AG$8-A10&gt;AD$2*(1+AD$4),A10+AD$2*2,IF(AG$8-A10&gt;AD$2*AD$4,A10+AD$2,IF(A10-AG$8&gt;AD$2*(1+AD$4),A10-2*AD$2,IF(A10-AG$8&gt;AD$2*AD$4,A10-AD$2,A10)))))</f>
        <v/>
      </c>
      <c r="G10" s="39">
        <f>IF(B10="","",IF(ROUND(AG$8-F10,3)=0,0,AG$8-F10))</f>
        <v/>
      </c>
      <c r="H10" s="72">
        <f>IF($G10="",0,I10+$E10)</f>
        <v/>
      </c>
      <c r="I10" s="72">
        <f>IF($G10="","",IF(ROUND($G10,3)=0,0,IF($G10&gt;0,VLOOKUP($G10,Boundaries!$B$5:$C$9153,2,TRUE),-1*VLOOKUP(-1*$G10,Boundaries!$B$5:$C157,2,TRUE))))</f>
        <v/>
      </c>
      <c r="J10" s="72">
        <f>IF(I10="","",VLOOKUP(I10,Key!$A$2:$B$982,2,FALSE))</f>
        <v/>
      </c>
      <c r="K10" s="40">
        <f>IF(I10="","",IF(I10=0,"",IF(I10&gt;0,VLOOKUP(I10,Commas!$A$2:$E$9149,5,FALSE),-1*VLOOKUP(-1*I10,Commas!$A$2:$E$9149,5,FALSE))))</f>
        <v/>
      </c>
      <c r="L10" s="40">
        <f>IF($B10="","",IF($G10="",0,IF(K10="",$G10,ABS($G10-K10))))</f>
        <v/>
      </c>
      <c r="M10" s="72">
        <f>IF($G10="",0,N10+$E10)</f>
        <v/>
      </c>
      <c r="N10" s="72">
        <f>IF($G10="","",IF(ROUND($G10,3)=0,0,IF($G10&gt;0,VLOOKUP($G10,Boundaries!$F$5:$G$9153,2,TRUE),-1*VLOOKUP(-1*$G10,Boundaries!$F$5:$G$9153,2,TRUE))))</f>
        <v/>
      </c>
      <c r="O10" s="72">
        <f>IF(N10="","",VLOOKUP(N10,Key!$A$2:$B$982,2,FALSE))</f>
        <v/>
      </c>
      <c r="P10" s="40">
        <f>IF(N10="","",IF(N10=0,"",IF(N10&gt;0,VLOOKUP(N10,Commas!$A$2:$E$9149,5,FALSE),-1*VLOOKUP(-1*N10,Commas!$A$2:$E$9149,5,FALSE))))</f>
        <v/>
      </c>
      <c r="Q10" s="40">
        <f>IF($B10="","",IF($G10="",0,IF(P10="",$G10,ABS($G10-P10))))</f>
        <v/>
      </c>
      <c r="R10" s="72">
        <f>IF($G10="",0,S10+$E10)</f>
        <v/>
      </c>
      <c r="S10" s="72">
        <f>IF($G10="","",IF(ROUND($G10,3)=0,0,IF($G10&gt;0,VLOOKUP($G10,Boundaries!$J$5:$K$9153,2,TRUE),-1*VLOOKUP(-1*$G10,Boundaries!$J$5:$K$9153,2,TRUE))))</f>
        <v/>
      </c>
      <c r="T10" s="72">
        <f>IF(S10="","",VLOOKUP(S10,Key!$A$2:$B$982,2,FALSE))</f>
        <v/>
      </c>
      <c r="U10" s="40">
        <f>IF(S10="","",IF(S10=0,"",IF(S10&gt;0,VLOOKUP(S10,Commas!$A$2:$E$9149,5,FALSE),-1*VLOOKUP(-1*S10,Commas!$A$2:$E$9149,5,FALSE))))</f>
        <v/>
      </c>
      <c r="V10" s="40">
        <f>IF($B10="","",IF($G10="",0,IF(U10="",0,ABS($G10-U10))))</f>
        <v/>
      </c>
      <c r="W10" s="72">
        <f>IF($G10="",0,X10+$E10)</f>
        <v/>
      </c>
      <c r="X10" s="72">
        <f>IF($G10="","",IF(ROUND($G10,3)=0,0,IF($G10&gt;0,VLOOKUP($G10,Boundaries!$N$5:$O$9153,2,TRUE),-1*VLOOKUP(-1*$G10,Boundaries!$N$5:$O$9153,2,TRUE))))</f>
        <v/>
      </c>
      <c r="Y10" s="72">
        <f>IF(X10="","",VLOOKUP(X10,Key!$A$2:$B$982,2,FALSE))</f>
        <v/>
      </c>
      <c r="Z10" s="40">
        <f>IF(X10="","",IF(X10=0,"",IF(X10&gt;0,VLOOKUP(X10,Commas!$A$2:$E$9149,5,FALSE),-1*VLOOKUP(-1*X10,Commas!$A$2:$E$9149,5,FALSE))))</f>
        <v/>
      </c>
      <c r="AA10" s="40">
        <f>IF($B10="","",IF($G10="",0,IF(Z10="",0,ABS($G10-Z10))))</f>
        <v/>
      </c>
      <c r="AB10" s="4">
        <f>IF(B10&lt;&gt;"",UI!$C$8+(FIND(D10&amp;B10&amp;REPT(" ",3-LEN(D10&amp;B10)),$A$1)-46)/3-AJ$2,"")</f>
        <v/>
      </c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 ht="15" customHeight="1" s="71">
      <c r="A11" s="39">
        <f>1200*(LN(27/16)/LN(2))</f>
        <v/>
      </c>
      <c r="B11" s="4">
        <f>IF(ABS(AG$8-A11)&gt;2.000001*AD$2,"","A")</f>
        <v/>
      </c>
      <c r="C11" s="62">
        <f>IF(ABS(AG$8-A11)&gt;2.000001*AD$2,""," ")</f>
        <v/>
      </c>
      <c r="D11" s="4">
        <f>IF(B11="","",IF(AG$8-A11&gt;AD$2*(1+AD$4),"x",IF(AG$8-A11&gt;AD$2*AD$4,"#",IF(A11-AG$8&gt;AD$2*(1+AD$4),"bb",IF(A11-AG$8&gt;AD$2*AD$4,"b","")))))</f>
        <v/>
      </c>
      <c r="E11" s="62">
        <f>IF(D11="x",2000,IF(D11="#",1000,IF(D11="",0,IF(D11="b",-1000,IF(D11="bb",-2000)))))</f>
        <v/>
      </c>
      <c r="F11" s="37">
        <f>IF(B11="","",IF(AG$8-A11&gt;AD$2*(1+AD$4),A11+AD$2*2,IF(AG$8-A11&gt;AD$2*AD$4,A11+AD$2,IF(A11-AG$8&gt;AD$2*(1+AD$4),A11-2*AD$2,IF(A11-AG$8&gt;AD$2*AD$4,A11-AD$2,A11)))))</f>
        <v/>
      </c>
      <c r="G11" s="39">
        <f>IF(B11="","",IF(ROUND(AG$8-F11,3)=0,0,AG$8-F11))</f>
        <v/>
      </c>
      <c r="H11" s="72">
        <f>IF($G11="",0,I11+$E11)</f>
        <v/>
      </c>
      <c r="I11" s="72">
        <f>IF($G11="","",IF(ROUND($G11,3)=0,0,IF($G11&gt;0,VLOOKUP($G11,Boundaries!$B$5:$C$9153,2,TRUE),-1*VLOOKUP(-1*$G11,Boundaries!$B$5:$C158,2,TRUE))))</f>
        <v/>
      </c>
      <c r="J11" s="72">
        <f>IF(I11="","",VLOOKUP(I11,Key!$A$2:$B$982,2,FALSE))</f>
        <v/>
      </c>
      <c r="K11" s="40">
        <f>IF(I11="","",IF(I11=0,"",IF(I11&gt;0,VLOOKUP(I11,Commas!$A$2:$E$9149,5,FALSE),-1*VLOOKUP(-1*I11,Commas!$A$2:$E$9149,5,FALSE))))</f>
        <v/>
      </c>
      <c r="L11" s="40">
        <f>IF($B11="","",IF($G11="",0,IF(K11="",$G11,ABS($G11-K11))))</f>
        <v/>
      </c>
      <c r="M11" s="72">
        <f>IF($G11="",0,N11+$E11)</f>
        <v/>
      </c>
      <c r="N11" s="72">
        <f>IF($G11="","",IF(ROUND($G11,3)=0,0,IF($G11&gt;0,VLOOKUP($G11,Boundaries!$F$5:$G$9153,2,TRUE),-1*VLOOKUP(-1*$G11,Boundaries!$F$5:$G$9153,2,TRUE))))</f>
        <v/>
      </c>
      <c r="O11" s="72">
        <f>IF(N11="","",VLOOKUP(N11,Key!$A$2:$B$982,2,FALSE))</f>
        <v/>
      </c>
      <c r="P11" s="40">
        <f>IF(N11="","",IF(N11=0,"",IF(N11&gt;0,VLOOKUP(N11,Commas!$A$2:$E$9149,5,FALSE),-1*VLOOKUP(-1*N11,Commas!$A$2:$E$9149,5,FALSE))))</f>
        <v/>
      </c>
      <c r="Q11" s="40">
        <f>IF($B11="","",IF($G11="",0,IF(P11="",$G11,ABS($G11-P11))))</f>
        <v/>
      </c>
      <c r="R11" s="72">
        <f>IF($G11="",0,S11+$E11)</f>
        <v/>
      </c>
      <c r="S11" s="72">
        <f>IF($G11="","",IF(ROUND($G11,3)=0,0,IF($G11&gt;0,VLOOKUP($G11,Boundaries!$J$5:$K$9153,2,TRUE),-1*VLOOKUP(-1*$G11,Boundaries!$J$5:$K$9153,2,TRUE))))</f>
        <v/>
      </c>
      <c r="T11" s="72">
        <f>IF(S11="","",VLOOKUP(S11,Key!$A$2:$B$982,2,FALSE))</f>
        <v/>
      </c>
      <c r="U11" s="40">
        <f>IF(S11="","",IF(S11=0,"",IF(S11&gt;0,VLOOKUP(S11,Commas!$A$2:$E$9149,5,FALSE),-1*VLOOKUP(-1*S11,Commas!$A$2:$E$9149,5,FALSE))))</f>
        <v/>
      </c>
      <c r="V11" s="40">
        <f>IF($B11="","",IF($G11="",0,IF(U11="",0,ABS($G11-U11))))</f>
        <v/>
      </c>
      <c r="W11" s="72">
        <f>IF($G11="",0,X11+$E11)</f>
        <v/>
      </c>
      <c r="X11" s="72">
        <f>IF($G11="","",IF(ROUND($G11,3)=0,0,IF($G11&gt;0,VLOOKUP($G11,Boundaries!$N$5:$O$9153,2,TRUE),-1*VLOOKUP(-1*$G11,Boundaries!$N$5:$O$9153,2,TRUE))))</f>
        <v/>
      </c>
      <c r="Y11" s="72">
        <f>IF(X11="","",VLOOKUP(X11,Key!$A$2:$B$982,2,FALSE))</f>
        <v/>
      </c>
      <c r="Z11" s="40">
        <f>IF(X11="","",IF(X11=0,"",IF(X11&gt;0,VLOOKUP(X11,Commas!$A$2:$E$9149,5,FALSE),-1*VLOOKUP(-1*X11,Commas!$A$2:$E$9149,5,FALSE))))</f>
        <v/>
      </c>
      <c r="AA11" s="40">
        <f>IF($B11="","",IF($G11="",0,IF(Z11="",0,ABS($G11-Z11))))</f>
        <v/>
      </c>
      <c r="AB11" s="4">
        <f>IF(B11&lt;&gt;"",UI!$C$8+(FIND(D11&amp;B11&amp;REPT(" ",3-LEN(D11&amp;B11)),$A$1)-46)/3-AJ$2,"")</f>
        <v/>
      </c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 ht="15" customHeight="1" s="71">
      <c r="A12" s="39">
        <f>IF(ABS(AG$8-1200*(LN(243/128)/LN(2))+1200)&lt;300,1200*(LN(243/128)/LN(2))-1200,1200*(LN(243/128)/LN(2)))</f>
        <v/>
      </c>
      <c r="B12" s="4">
        <f>IF(ABS(AG$8-A12)&gt;2.000001*AD$2,"","B")</f>
        <v/>
      </c>
      <c r="C12" s="62">
        <f>IF(ABS(AG$8-A12)&gt;2.000001*AD$2,""," ")</f>
        <v/>
      </c>
      <c r="D12" s="4">
        <f>IF(B12="","",IF(AG$8-A12&gt;AD$2*(1+AD$4),"x",IF(AG$8-A12&gt;AD$2*AD$4,"#",IF(A12-AG$8&gt;AD$2*(1+AD$4),"bb",IF(A12-AG$8&gt;AD$2*AD$4,"b","")))))</f>
        <v/>
      </c>
      <c r="E12" s="62">
        <f>IF(D12="x",2000,IF(D12="#",1000,IF(D12="",0,IF(D12="b",-1000,IF(D12="bb",-2000)))))</f>
        <v/>
      </c>
      <c r="F12" s="37">
        <f>IF(B12="","",IF(AG$8-A12&gt;AD$2*(1+AD$4),A12+AD$2*2,IF(AG$8-A12&gt;AD$2*AD$4,A12+AD$2,IF(A12-AG$8&gt;AD$2*(1+AD$4),A12-2*AD$2,IF(A12-AG$8&gt;AD$2*AD$4,A12-AD$2,A12)))))</f>
        <v/>
      </c>
      <c r="G12" s="39">
        <f>IF(B12="","",IF(ROUND(AG$8-F12,3)=0,0,AG$8-F12))</f>
        <v/>
      </c>
      <c r="H12" s="72">
        <f>IF($G12="",0,I12+$E12)</f>
        <v/>
      </c>
      <c r="I12" s="72">
        <f>IF($G12="","",IF(ROUND($G12,3)=0,0,IF($G12&gt;0,VLOOKUP($G12,Boundaries!$B$5:$C$9153,2,TRUE),-1*VLOOKUP(-1*$G12,Boundaries!$B$5:$C159,2,TRUE))))</f>
        <v/>
      </c>
      <c r="J12" s="72">
        <f>IF(I12="","",VLOOKUP(I12,Key!$A$2:$B$982,2,FALSE))</f>
        <v/>
      </c>
      <c r="K12" s="40">
        <f>IF(I12="","",IF(I12=0,"",IF(I12&gt;0,VLOOKUP(I12,Commas!$A$2:$E$9149,5,FALSE),-1*VLOOKUP(-1*I12,Commas!$A$2:$E$9149,5,FALSE))))</f>
        <v/>
      </c>
      <c r="L12" s="40">
        <f>IF($B12="","",IF($G12="",0,IF(K12="",$G12,ABS($G12-K12))))</f>
        <v/>
      </c>
      <c r="M12" s="72">
        <f>IF($G12="",0,N12+$E12)</f>
        <v/>
      </c>
      <c r="N12" s="72">
        <f>IF($G12="","",IF(ROUND($G12,3)=0,0,IF($G12&gt;0,VLOOKUP($G12,Boundaries!$F$5:$G$9153,2,TRUE),-1*VLOOKUP(-1*$G12,Boundaries!$F$5:$G$9153,2,TRUE))))</f>
        <v/>
      </c>
      <c r="O12" s="72">
        <f>IF(N12="","",VLOOKUP(N12,Key!$A$2:$B$982,2,FALSE))</f>
        <v/>
      </c>
      <c r="P12" s="40">
        <f>IF(N12="","",IF(N12=0,"",IF(N12&gt;0,VLOOKUP(N12,Commas!$A$2:$E$9149,5,FALSE),-1*VLOOKUP(-1*N12,Commas!$A$2:$E$9149,5,FALSE))))</f>
        <v/>
      </c>
      <c r="Q12" s="40">
        <f>IF($B12="","",IF($G12="",0,IF(P12="",$G12,ABS($G12-P12))))</f>
        <v/>
      </c>
      <c r="R12" s="72">
        <f>IF($G12="",0,S12+$E12)</f>
        <v/>
      </c>
      <c r="S12" s="72">
        <f>IF($G12="","",IF(ROUND($G12,3)=0,0,IF($G12&gt;0,VLOOKUP($G12,Boundaries!$J$5:$K$9153,2,TRUE),-1*VLOOKUP(-1*$G12,Boundaries!$J$5:$K$9153,2,TRUE))))</f>
        <v/>
      </c>
      <c r="T12" s="72">
        <f>IF(S12="","",VLOOKUP(S12,Key!$A$2:$B$982,2,FALSE))</f>
        <v/>
      </c>
      <c r="U12" s="40">
        <f>IF(S12="","",IF(S12=0,"",IF(S12&gt;0,VLOOKUP(S12,Commas!$A$2:$E$9149,5,FALSE),-1*VLOOKUP(-1*S12,Commas!$A$2:$E$9149,5,FALSE))))</f>
        <v/>
      </c>
      <c r="V12" s="40">
        <f>IF($B12="","",IF($G12="",0,IF(U12="",0,ABS($G12-U12))))</f>
        <v/>
      </c>
      <c r="W12" s="72">
        <f>IF($G12="",0,X12+$E12)</f>
        <v/>
      </c>
      <c r="X12" s="72">
        <f>IF($G12="","",IF(ROUND($G12,3)=0,0,IF($G12&gt;0,VLOOKUP($G12,Boundaries!$N$5:$O$9153,2,TRUE),-1*VLOOKUP(-1*$G12,Boundaries!$N$5:$O$9153,2,TRUE))))</f>
        <v/>
      </c>
      <c r="Y12" s="72">
        <f>IF(X12="","",VLOOKUP(X12,Key!$A$2:$B$982,2,FALSE))</f>
        <v/>
      </c>
      <c r="Z12" s="40">
        <f>IF(X12="","",IF(X12=0,"",IF(X12&gt;0,VLOOKUP(X12,Commas!$A$2:$E$9149,5,FALSE),-1*VLOOKUP(-1*X12,Commas!$A$2:$E$9149,5,FALSE))))</f>
        <v/>
      </c>
      <c r="AA12" s="40">
        <f>IF($B12="","",IF($G12="",0,IF(Z12="",0,ABS($G12-Z12))))</f>
        <v/>
      </c>
      <c r="AB12" s="4">
        <f>IF(B12&lt;&gt;"",UI!$C$8+(FIND(D12&amp;B12&amp;REPT(" ",3-LEN(D12&amp;B12)),$A$1)-46)/3-AJ$2,"")</f>
        <v/>
      </c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 ht="14" customHeight="1" s="71">
      <c r="I13" s="72">
        <f>IF($G13="","",IF(ROUND($G13,3)=0,0,IF($G13&gt;0,VLOOKUP($G13,Boundaries!$B$5:$C$9153,2,TRUE),-1*VLOOKUP(-1*$G13,Boundaries!$B$5:$C160,2,TRUE))))</f>
        <v/>
      </c>
      <c r="N13" s="72">
        <f>IF($G13="","",IF(ROUND($G13,3)=0,0,IF($G13&gt;0,VLOOKUP($G13,Boundaries!$F$5:$G$9153,2,TRUE),-1*VLOOKUP(-1*$G13,Boundaries!$F$5:$G$9153,2,TRUE))))</f>
        <v/>
      </c>
      <c r="S13" s="72">
        <f>IF($G13="","",IF(ROUND($G13,3)=0,0,IF($G13&gt;0,VLOOKUP($G13,Boundaries!$J$5:$K$9153,2,TRUE),-1*VLOOKUP(-1*$G13,Boundaries!$J$5:$K$9153,2,TRUE))))</f>
        <v/>
      </c>
      <c r="X13" s="72">
        <f>IF($G13="","",IF(ROUND($G13,3)=0,0,IF($G13&gt;0,VLOOKUP($G13,Boundaries!$N$5:$O$9153,2,TRUE),-1*VLOOKUP(-1*$G13,Boundaries!$N$5:$O$9153,2,TRUE))))</f>
        <v/>
      </c>
    </row>
  </sheetData>
  <mergeCells count="15">
    <mergeCell ref="AJ1:AK1"/>
    <mergeCell ref="A4:A5"/>
    <mergeCell ref="B4:B5"/>
    <mergeCell ref="C4:C5"/>
    <mergeCell ref="D4:D5"/>
    <mergeCell ref="R4:V4"/>
    <mergeCell ref="W4:AA4"/>
    <mergeCell ref="AB4:AB5"/>
    <mergeCell ref="AD1:AE1"/>
    <mergeCell ref="AG1:AH1"/>
    <mergeCell ref="E4:E5"/>
    <mergeCell ref="F4:F5"/>
    <mergeCell ref="G4:G5"/>
    <mergeCell ref="H4:L4"/>
    <mergeCell ref="M4:Q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54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3984375" defaultRowHeight="15" customHeight="1"/>
  <cols>
    <col width="6.796875" customWidth="1" style="71" min="1" max="1"/>
    <col width="20" customWidth="1" style="71" min="2" max="2"/>
    <col width="7.796875" customWidth="1" style="71" min="3" max="3"/>
    <col width="18.19921875" customWidth="1" style="71" min="4" max="4"/>
    <col width="6.796875" customWidth="1" style="71" min="5" max="5"/>
    <col width="20" customWidth="1" style="71" min="6" max="6"/>
    <col width="7.796875" customWidth="1" style="71" min="7" max="7"/>
    <col width="18.19921875" customWidth="1" style="71" min="8" max="8"/>
    <col width="6.796875" customWidth="1" style="71" min="9" max="9"/>
    <col width="20" customWidth="1" style="71" min="10" max="10"/>
    <col width="7.796875" customWidth="1" style="71" min="11" max="11"/>
    <col width="18" customWidth="1" style="71" min="12" max="12"/>
    <col width="20" customWidth="1" style="71" min="13" max="13"/>
    <col width="20.796875" customWidth="1" style="71" min="14" max="14"/>
    <col width="7.796875" customWidth="1" style="71" min="15" max="15"/>
    <col width="18.19921875" customWidth="1" style="71" min="16" max="16"/>
  </cols>
  <sheetData>
    <row r="1" ht="15" customHeight="1" s="71">
      <c r="A1" s="95" t="inlineStr">
        <is>
          <t>Standard Medium Precision JI</t>
        </is>
      </c>
      <c r="E1" s="95" t="inlineStr">
        <is>
          <t>Standard High Precision JI</t>
        </is>
      </c>
      <c r="I1" s="96" t="inlineStr">
        <is>
          <t>Standard Ultra Precision JI</t>
        </is>
      </c>
      <c r="M1" s="95" t="inlineStr">
        <is>
          <t>Standard Extreme Precision JI</t>
        </is>
      </c>
    </row>
    <row r="2" ht="15" customHeight="1" s="71">
      <c r="A2" s="107" t="inlineStr">
        <is>
          <t>steps per apotome</t>
        </is>
      </c>
      <c r="D2" s="42" t="n">
        <v>21</v>
      </c>
      <c r="E2" s="107" t="inlineStr">
        <is>
          <t>steps per apotome</t>
        </is>
      </c>
      <c r="H2" s="42" t="n">
        <v>47</v>
      </c>
      <c r="I2" s="107" t="inlineStr">
        <is>
          <t>steps per apotome</t>
        </is>
      </c>
      <c r="L2" s="42" t="n">
        <v>58</v>
      </c>
      <c r="M2" s="107" t="inlineStr">
        <is>
          <t>steps per apotome</t>
        </is>
      </c>
      <c r="P2" s="42" t="n">
        <v>233</v>
      </c>
    </row>
    <row r="3" ht="15" customHeight="1" s="71">
      <c r="A3" s="107" t="inlineStr">
        <is>
          <t>cents per step (approx.)</t>
        </is>
      </c>
      <c r="D3" s="89">
        <f>LN(3^7/2^11)/LN(2)*1200/D$2</f>
        <v/>
      </c>
      <c r="E3" s="107" t="inlineStr">
        <is>
          <t>cents per step (approx.)</t>
        </is>
      </c>
      <c r="H3" s="89">
        <f>LN(3^7/2^11)/LN(2)*1200/H$2</f>
        <v/>
      </c>
      <c r="I3" s="107" t="inlineStr">
        <is>
          <t>cents per step (approx.)</t>
        </is>
      </c>
      <c r="L3" s="89">
        <f>LN(3^7/2^11)/LN(2)*1200/L$2</f>
        <v/>
      </c>
      <c r="M3" s="107" t="inlineStr">
        <is>
          <t>cents per step (approx.)</t>
        </is>
      </c>
      <c r="P3" s="89">
        <f>LN(3^7/2^11)/LN(2)*1200/P$2</f>
        <v/>
      </c>
    </row>
    <row r="4" ht="15" customHeight="1" s="71">
      <c r="A4" s="84" t="inlineStr">
        <is>
          <t>Steps</t>
        </is>
      </c>
      <c r="B4" s="43" t="inlineStr">
        <is>
          <t>Lower Bound</t>
        </is>
      </c>
      <c r="C4" s="84" t="inlineStr">
        <is>
          <t>Key</t>
        </is>
      </c>
      <c r="D4" s="84" t="inlineStr">
        <is>
          <t>Symbol</t>
        </is>
      </c>
      <c r="E4" s="84" t="inlineStr">
        <is>
          <t>Steps</t>
        </is>
      </c>
      <c r="F4" s="43" t="inlineStr">
        <is>
          <t>Lower Bound</t>
        </is>
      </c>
      <c r="G4" s="84" t="inlineStr">
        <is>
          <t>Key</t>
        </is>
      </c>
      <c r="H4" s="84" t="inlineStr">
        <is>
          <t>Symbol</t>
        </is>
      </c>
      <c r="I4" s="84" t="inlineStr">
        <is>
          <t>Steps</t>
        </is>
      </c>
      <c r="J4" s="43" t="inlineStr">
        <is>
          <t>Lower Bound</t>
        </is>
      </c>
      <c r="K4" s="84" t="inlineStr">
        <is>
          <t>Key</t>
        </is>
      </c>
      <c r="L4" s="84" t="inlineStr">
        <is>
          <t>Symbol</t>
        </is>
      </c>
      <c r="M4" s="84" t="inlineStr">
        <is>
          <t>Steps</t>
        </is>
      </c>
      <c r="N4" s="43" t="inlineStr">
        <is>
          <t>Lower Bound</t>
        </is>
      </c>
      <c r="O4" s="84" t="inlineStr">
        <is>
          <t>Key</t>
        </is>
      </c>
      <c r="P4" s="84" t="inlineStr">
        <is>
          <t>Symbol</t>
        </is>
      </c>
    </row>
    <row r="5" ht="15" customHeight="1" s="71">
      <c r="A5" s="4" t="n">
        <v>0</v>
      </c>
      <c r="B5" s="44" t="n">
        <v>-0.2107880211206054</v>
      </c>
      <c r="C5" s="50" t="n">
        <v>0</v>
      </c>
      <c r="D5" s="50">
        <f>IF(ISERROR(VLOOKUP(C5,Key!$A$2:$B$982,2,FALSE)),"",VLOOKUP(C5,Key!$A$2:$B$982,2,FALSE))</f>
        <v/>
      </c>
      <c r="E5" s="4" t="n">
        <v>0</v>
      </c>
      <c r="F5" s="44" t="n">
        <v>-0.2107880211206054</v>
      </c>
      <c r="G5" s="50" t="n">
        <v>0</v>
      </c>
      <c r="H5" s="50">
        <f>IF(ISERROR(VLOOKUP(G5,Key!$A$2:$B$982,2,FALSE)),"",VLOOKUP(G5,Key!$A$2:$B$982,2,FALSE))</f>
        <v/>
      </c>
      <c r="I5" s="4" t="n">
        <v>0</v>
      </c>
      <c r="J5" s="44" t="n">
        <v>-0.2107880211206054</v>
      </c>
      <c r="K5" s="50" t="n">
        <v>0</v>
      </c>
      <c r="L5" s="50">
        <f>IF(ISERROR(VLOOKUP(K5,Key!$A$2:$B$982,2,FALSE)),"",VLOOKUP(K5,Key!$A$2:$B$982,2,FALSE))</f>
        <v/>
      </c>
      <c r="M5" s="4" t="n">
        <v>0</v>
      </c>
      <c r="N5" s="44">
        <f>(ROUND((M5-0.5)/233*809+0.5,0)-0.5)/809*Calculator!$AD$2</f>
        <v/>
      </c>
      <c r="O5" s="50" t="n">
        <v>0</v>
      </c>
      <c r="P5" s="50">
        <f>IF(ISERROR(VLOOKUP(O5,Key!$A$2:$B$982,2,FALSE)),"",VLOOKUP(O5,Key!$A$2:$B$982,2,FALSE))</f>
        <v/>
      </c>
    </row>
    <row r="6" ht="15" customHeight="1" s="71">
      <c r="A6" s="4" t="n"/>
      <c r="B6" s="44" t="n"/>
      <c r="C6" s="50" t="inlineStr"/>
      <c r="D6" s="50">
        <f>IF(ISERROR(VLOOKUP(C6,Key!$A$2:$B$982,2,FALSE)),"",VLOOKUP(C6,Key!$A$2:$B$982,2,FALSE))</f>
        <v/>
      </c>
      <c r="E6" s="4" t="n"/>
      <c r="F6" s="44" t="n"/>
      <c r="G6" s="50" t="inlineStr"/>
      <c r="H6" s="50">
        <f>IF(ISERROR(VLOOKUP(G6,Key!$A$2:$B$982,2,FALSE)),"",VLOOKUP(G6,Key!$A$2:$B$982,2,FALSE))</f>
        <v/>
      </c>
      <c r="I6" s="4" t="n"/>
      <c r="J6" s="44" t="n"/>
      <c r="K6" s="50" t="inlineStr"/>
      <c r="L6" s="50">
        <f>IF(ISERROR(VLOOKUP(K6,Key!$A$2:$B$982,2,FALSE)),"",VLOOKUP(K6,Key!$A$2:$B$982,2,FALSE))</f>
        <v/>
      </c>
      <c r="M6" s="4" t="n">
        <v>1</v>
      </c>
      <c r="N6" s="44">
        <f>(ROUND((M6-0.5)/233*809+0.5,0)-0.5)/809*Calculator!$AD$2</f>
        <v/>
      </c>
      <c r="O6" s="50" t="n">
        <v>1</v>
      </c>
      <c r="P6" s="50">
        <f>IF(ISERROR(VLOOKUP(O6,Key!$A$2:$B$982,2,FALSE)),"",VLOOKUP(O6,Key!$A$2:$B$982,2,FALSE))</f>
        <v/>
      </c>
    </row>
    <row r="7" ht="15" customHeight="1" s="71">
      <c r="A7" s="4" t="n"/>
      <c r="B7" s="44" t="n"/>
      <c r="C7" s="50" t="inlineStr"/>
      <c r="D7" s="50">
        <f>IF(ISERROR(VLOOKUP(C7,Key!$A$2:$B$982,2,FALSE)),"",VLOOKUP(C7,Key!$A$2:$B$982,2,FALSE))</f>
        <v/>
      </c>
      <c r="E7" s="4" t="n"/>
      <c r="F7" s="44" t="n"/>
      <c r="G7" s="50" t="inlineStr"/>
      <c r="H7" s="50">
        <f>IF(ISERROR(VLOOKUP(G7,Key!$A$2:$B$982,2,FALSE)),"",VLOOKUP(G7,Key!$A$2:$B$982,2,FALSE))</f>
        <v/>
      </c>
      <c r="I7" s="4" t="n"/>
      <c r="J7" s="44" t="n"/>
      <c r="K7" s="50" t="inlineStr"/>
      <c r="L7" s="50">
        <f>IF(ISERROR(VLOOKUP(K7,Key!$A$2:$B$982,2,FALSE)),"",VLOOKUP(K7,Key!$A$2:$B$982,2,FALSE))</f>
        <v/>
      </c>
      <c r="M7" s="4" t="n">
        <v>2</v>
      </c>
      <c r="N7" s="44">
        <f>(ROUND((M7-0.5)/233*809+0.5,0)-0.5)/809*Calculator!$AD$2</f>
        <v/>
      </c>
      <c r="O7" s="50" t="n">
        <v>2</v>
      </c>
      <c r="P7" s="50">
        <f>IF(ISERROR(VLOOKUP(O7,Key!$A$2:$B$982,2,FALSE)),"",VLOOKUP(O7,Key!$A$2:$B$982,2,FALSE))</f>
        <v/>
      </c>
    </row>
    <row r="8" ht="15" customHeight="1" s="71">
      <c r="A8" s="4" t="n"/>
      <c r="B8" s="44" t="n"/>
      <c r="C8" s="50" t="inlineStr"/>
      <c r="D8" s="50">
        <f>IF(ISERROR(VLOOKUP(C8,Key!$A$2:$B$982,2,FALSE)),"",VLOOKUP(C8,Key!$A$2:$B$982,2,FALSE))</f>
        <v/>
      </c>
      <c r="E8" s="4" t="n">
        <v>1</v>
      </c>
      <c r="F8" s="44" t="n">
        <v>1.19446545301675</v>
      </c>
      <c r="G8" s="50" t="n">
        <v>7</v>
      </c>
      <c r="H8" s="50">
        <f>IF(ISERROR(VLOOKUP(G8,Key!$A$2:$B$982,2,FALSE)),"",VLOOKUP(G8,Key!$A$2:$B$982,2,FALSE))</f>
        <v/>
      </c>
      <c r="I8" s="4" t="n">
        <v>1</v>
      </c>
      <c r="J8" s="44" t="n">
        <v>1.19446545301675</v>
      </c>
      <c r="K8" s="50" t="n">
        <v>3</v>
      </c>
      <c r="L8" s="50">
        <f>IF(ISERROR(VLOOKUP(K8,Key!$A$2:$B$982,2,FALSE)),"",VLOOKUP(K8,Key!$A$2:$B$982,2,FALSE))</f>
        <v/>
      </c>
      <c r="M8" s="4" t="n">
        <v>3</v>
      </c>
      <c r="N8" s="44">
        <f>(ROUND((M8-0.5)/233*809+0.5,0)-0.5)/809*Calculator!$AD$2</f>
        <v/>
      </c>
      <c r="O8" s="50" t="n">
        <v>3</v>
      </c>
      <c r="P8" s="50">
        <f>IF(ISERROR(VLOOKUP(O8,Key!$A$2:$B$982,2,FALSE)),"",VLOOKUP(O8,Key!$A$2:$B$982,2,FALSE))</f>
        <v/>
      </c>
    </row>
    <row r="9" ht="15" customHeight="1" s="71">
      <c r="A9" s="4" t="n"/>
      <c r="B9" s="44" t="n"/>
      <c r="C9" s="50" t="inlineStr"/>
      <c r="D9" s="50">
        <f>IF(ISERROR(VLOOKUP(C9,Key!$A$2:$B$982,2,FALSE)),"",VLOOKUP(C9,Key!$A$2:$B$982,2,FALSE))</f>
        <v/>
      </c>
      <c r="E9" s="4" t="n"/>
      <c r="F9" s="44" t="n"/>
      <c r="G9" s="50" t="inlineStr"/>
      <c r="H9" s="50">
        <f>IF(ISERROR(VLOOKUP(G9,Key!$A$2:$B$982,2,FALSE)),"",VLOOKUP(G9,Key!$A$2:$B$982,2,FALSE))</f>
        <v/>
      </c>
      <c r="I9" s="4" t="n">
        <v>1.3</v>
      </c>
      <c r="J9" s="44" t="n">
        <v>1.75656684267169</v>
      </c>
      <c r="K9" s="50" t="n">
        <v>4</v>
      </c>
      <c r="L9" s="50">
        <f>IF(ISERROR(VLOOKUP(K9,Key!$A$2:$B$982,2,FALSE)),"",VLOOKUP(K9,Key!$A$2:$B$982,2,FALSE))</f>
        <v/>
      </c>
      <c r="M9" s="4" t="n">
        <v>4</v>
      </c>
      <c r="N9" s="44">
        <f>(ROUND((M9-0.5)/233*809+0.5,0)-0.5)/809*Calculator!$AD$2</f>
        <v/>
      </c>
      <c r="O9" s="50" t="n">
        <v>4</v>
      </c>
      <c r="P9" s="50">
        <f>IF(ISERROR(VLOOKUP(O9,Key!$A$2:$B$982,2,FALSE)),"",VLOOKUP(O9,Key!$A$2:$B$982,2,FALSE))</f>
        <v/>
      </c>
    </row>
    <row r="10" ht="15" customHeight="1" s="71">
      <c r="A10" s="4" t="n"/>
      <c r="B10" s="44" t="n"/>
      <c r="C10" s="50" t="inlineStr"/>
      <c r="D10" s="50">
        <f>IF(ISERROR(VLOOKUP(C10,Key!$A$2:$B$982,2,FALSE)),"",VLOOKUP(C10,Key!$A$2:$B$982,2,FALSE))</f>
        <v/>
      </c>
      <c r="E10" s="4" t="n"/>
      <c r="F10" s="44" t="n"/>
      <c r="G10" s="50" t="inlineStr"/>
      <c r="H10" s="50">
        <f>IF(ISERROR(VLOOKUP(G10,Key!$A$2:$B$982,2,FALSE)),"",VLOOKUP(G10,Key!$A$2:$B$982,2,FALSE))</f>
        <v/>
      </c>
      <c r="I10" s="4" t="n"/>
      <c r="J10" s="44" t="n"/>
      <c r="K10" s="50" t="inlineStr"/>
      <c r="L10" s="50">
        <f>IF(ISERROR(VLOOKUP(K10,Key!$A$2:$B$982,2,FALSE)),"",VLOOKUP(K10,Key!$A$2:$B$982,2,FALSE))</f>
        <v/>
      </c>
      <c r="M10" s="4" t="n">
        <v>5</v>
      </c>
      <c r="N10" s="44">
        <f>(ROUND((M10-0.5)/233*809+0.5,0)-0.5)/809*Calculator!$AD$2</f>
        <v/>
      </c>
      <c r="O10" s="50" t="n">
        <v>5</v>
      </c>
      <c r="P10" s="50">
        <f>IF(ISERROR(VLOOKUP(O10,Key!$A$2:$B$982,2,FALSE)),"",VLOOKUP(O10,Key!$A$2:$B$982,2,FALSE))</f>
        <v/>
      </c>
    </row>
    <row r="11" ht="15" customHeight="1" s="71">
      <c r="A11" s="4" t="n">
        <v>1</v>
      </c>
      <c r="B11" s="44" t="n">
        <v>2.74024427456784</v>
      </c>
      <c r="C11" s="50" t="n">
        <v>12</v>
      </c>
      <c r="D11" s="50">
        <f>IF(ISERROR(VLOOKUP(C11,Key!$A$2:$B$982,2,FALSE)),"",VLOOKUP(C11,Key!$A$2:$B$982,2,FALSE))</f>
        <v/>
      </c>
      <c r="E11" s="4" t="n"/>
      <c r="F11" s="44" t="n"/>
      <c r="G11" s="50" t="inlineStr"/>
      <c r="H11" s="50">
        <f>IF(ISERROR(VLOOKUP(G11,Key!$A$2:$B$982,2,FALSE)),"",VLOOKUP(G11,Key!$A$2:$B$982,2,FALSE))</f>
        <v/>
      </c>
      <c r="I11" s="4" t="n">
        <v>2</v>
      </c>
      <c r="J11" s="44" t="n">
        <v>2.74024427456784</v>
      </c>
      <c r="K11" s="50" t="n">
        <v>7</v>
      </c>
      <c r="L11" s="50">
        <f>IF(ISERROR(VLOOKUP(K11,Key!$A$2:$B$982,2,FALSE)),"",VLOOKUP(K11,Key!$A$2:$B$982,2,FALSE))</f>
        <v/>
      </c>
      <c r="M11" s="4" t="n">
        <v>6</v>
      </c>
      <c r="N11" s="44">
        <f>(ROUND((M11-0.5)/233*809+0.5,0)-0.5)/809*Calculator!$AD$2</f>
        <v/>
      </c>
      <c r="O11" s="50" t="n">
        <v>6</v>
      </c>
      <c r="P11" s="50">
        <f>IF(ISERROR(VLOOKUP(O11,Key!$A$2:$B$982,2,FALSE)),"",VLOOKUP(O11,Key!$A$2:$B$982,2,FALSE))</f>
        <v/>
      </c>
    </row>
    <row r="12" ht="15" customHeight="1" s="71">
      <c r="A12" s="4" t="n"/>
      <c r="B12" s="44" t="n"/>
      <c r="C12" s="50" t="inlineStr"/>
      <c r="D12" s="50">
        <f>IF(ISERROR(VLOOKUP(C12,Key!$A$2:$B$982,2,FALSE)),"",VLOOKUP(C12,Key!$A$2:$B$982,2,FALSE))</f>
        <v/>
      </c>
      <c r="E12" s="4" t="n"/>
      <c r="F12" s="44" t="n"/>
      <c r="G12" s="50" t="inlineStr"/>
      <c r="H12" s="50">
        <f>IF(ISERROR(VLOOKUP(G12,Key!$A$2:$B$982,2,FALSE)),"",VLOOKUP(G12,Key!$A$2:$B$982,2,FALSE))</f>
        <v/>
      </c>
      <c r="I12" s="4" t="n"/>
      <c r="J12" s="44" t="n"/>
      <c r="K12" s="50" t="inlineStr"/>
      <c r="L12" s="50">
        <f>IF(ISERROR(VLOOKUP(K12,Key!$A$2:$B$982,2,FALSE)),"",VLOOKUP(K12,Key!$A$2:$B$982,2,FALSE))</f>
        <v/>
      </c>
      <c r="M12" s="4" t="n">
        <v>7</v>
      </c>
      <c r="N12" s="44">
        <f>(ROUND((M12-0.5)/233*809+0.5,0)-0.5)/809*Calculator!$AD$2</f>
        <v/>
      </c>
      <c r="O12" s="50" t="n">
        <v>7</v>
      </c>
      <c r="P12" s="50">
        <f>IF(ISERROR(VLOOKUP(O12,Key!$A$2:$B$982,2,FALSE)),"",VLOOKUP(O12,Key!$A$2:$B$982,2,FALSE))</f>
        <v/>
      </c>
    </row>
    <row r="13" ht="15" customHeight="1" s="71">
      <c r="A13" s="4" t="n"/>
      <c r="B13" s="44" t="n"/>
      <c r="C13" s="50" t="inlineStr"/>
      <c r="D13" s="50">
        <f>IF(ISERROR(VLOOKUP(C13,Key!$A$2:$B$982,2,FALSE)),"",VLOOKUP(C13,Key!$A$2:$B$982,2,FALSE))</f>
        <v/>
      </c>
      <c r="E13" s="4" t="n"/>
      <c r="F13" s="44" t="n"/>
      <c r="G13" s="50" t="inlineStr"/>
      <c r="H13" s="50">
        <f>IF(ISERROR(VLOOKUP(G13,Key!$A$2:$B$982,2,FALSE)),"",VLOOKUP(G13,Key!$A$2:$B$982,2,FALSE))</f>
        <v/>
      </c>
      <c r="I13" s="4" t="n"/>
      <c r="J13" s="44" t="n"/>
      <c r="K13" s="50" t="inlineStr"/>
      <c r="L13" s="50">
        <f>IF(ISERROR(VLOOKUP(K13,Key!$A$2:$B$982,2,FALSE)),"",VLOOKUP(K13,Key!$A$2:$B$982,2,FALSE))</f>
        <v/>
      </c>
      <c r="M13" s="4" t="n">
        <v>8</v>
      </c>
      <c r="N13" s="44">
        <f>(ROUND((M13-0.5)/233*809+0.5,0)-0.5)/809*Calculator!$AD$2</f>
        <v/>
      </c>
      <c r="O13" s="50" t="n">
        <v>8</v>
      </c>
      <c r="P13" s="50">
        <f>IF(ISERROR(VLOOKUP(O13,Key!$A$2:$B$982,2,FALSE)),"",VLOOKUP(O13,Key!$A$2:$B$982,2,FALSE))</f>
        <v/>
      </c>
    </row>
    <row r="14" ht="15" customHeight="1" s="71">
      <c r="A14" s="4" t="n"/>
      <c r="B14" s="44" t="n"/>
      <c r="C14" s="50" t="inlineStr"/>
      <c r="D14" s="50">
        <f>IF(ISERROR(VLOOKUP(C14,Key!$A$2:$B$982,2,FALSE)),"",VLOOKUP(C14,Key!$A$2:$B$982,2,FALSE))</f>
        <v/>
      </c>
      <c r="E14" s="4" t="n"/>
      <c r="F14" s="44" t="n"/>
      <c r="G14" s="50" t="inlineStr"/>
      <c r="H14" s="50">
        <f>IF(ISERROR(VLOOKUP(G14,Key!$A$2:$B$982,2,FALSE)),"",VLOOKUP(G14,Key!$A$2:$B$982,2,FALSE))</f>
        <v/>
      </c>
      <c r="I14" s="4" t="n"/>
      <c r="J14" s="44" t="n"/>
      <c r="K14" s="50" t="inlineStr"/>
      <c r="L14" s="50">
        <f>IF(ISERROR(VLOOKUP(K14,Key!$A$2:$B$982,2,FALSE)),"",VLOOKUP(K14,Key!$A$2:$B$982,2,FALSE))</f>
        <v/>
      </c>
      <c r="M14" s="4" t="n">
        <v>9</v>
      </c>
      <c r="N14" s="44">
        <f>(ROUND((M14-0.5)/233*809+0.5,0)-0.5)/809*Calculator!$AD$2</f>
        <v/>
      </c>
      <c r="O14" s="50" t="n">
        <v>9</v>
      </c>
      <c r="P14" s="50">
        <f>IF(ISERROR(VLOOKUP(O14,Key!$A$2:$B$982,2,FALSE)),"",VLOOKUP(O14,Key!$A$2:$B$982,2,FALSE))</f>
        <v/>
      </c>
    </row>
    <row r="15" ht="15" customHeight="1" s="71">
      <c r="A15" s="4" t="n"/>
      <c r="B15" s="44" t="n"/>
      <c r="C15" s="50" t="inlineStr"/>
      <c r="D15" s="50">
        <f>IF(ISERROR(VLOOKUP(C15,Key!$A$2:$B$982,2,FALSE)),"",VLOOKUP(C15,Key!$A$2:$B$982,2,FALSE))</f>
        <v/>
      </c>
      <c r="E15" s="4" t="n">
        <v>2</v>
      </c>
      <c r="F15" s="44" t="n">
        <v>4.5670737909464</v>
      </c>
      <c r="G15" s="50" t="n">
        <v>12</v>
      </c>
      <c r="H15" s="50">
        <f>IF(ISERROR(VLOOKUP(G15,Key!$A$2:$B$982,2,FALSE)),"",VLOOKUP(G15,Key!$A$2:$B$982,2,FALSE))</f>
        <v/>
      </c>
      <c r="I15" s="4" t="n">
        <v>3</v>
      </c>
      <c r="J15" s="44" t="n">
        <v>4.5670737909464</v>
      </c>
      <c r="K15" s="50" t="n">
        <v>12</v>
      </c>
      <c r="L15" s="50">
        <f>IF(ISERROR(VLOOKUP(K15,Key!$A$2:$B$982,2,FALSE)),"",VLOOKUP(K15,Key!$A$2:$B$982,2,FALSE))</f>
        <v/>
      </c>
      <c r="M15" s="4" t="n">
        <v>10</v>
      </c>
      <c r="N15" s="44">
        <f>(ROUND((M15-0.5)/233*809+0.5,0)-0.5)/809*Calculator!$AD$2</f>
        <v/>
      </c>
      <c r="O15" s="50" t="n">
        <v>10</v>
      </c>
      <c r="P15" s="50">
        <f>IF(ISERROR(VLOOKUP(O15,Key!$A$2:$B$982,2,FALSE)),"",VLOOKUP(O15,Key!$A$2:$B$982,2,FALSE))</f>
        <v/>
      </c>
    </row>
    <row r="16" ht="15" customHeight="1" s="71">
      <c r="A16" s="4" t="n"/>
      <c r="B16" s="44" t="n"/>
      <c r="C16" s="50" t="inlineStr"/>
      <c r="D16" s="50">
        <f>IF(ISERROR(VLOOKUP(C16,Key!$A$2:$B$982,2,FALSE)),"",VLOOKUP(C16,Key!$A$2:$B$982,2,FALSE))</f>
        <v/>
      </c>
      <c r="E16" s="4" t="n"/>
      <c r="F16" s="44" t="n"/>
      <c r="G16" s="50" t="inlineStr"/>
      <c r="H16" s="50">
        <f>IF(ISERROR(VLOOKUP(G16,Key!$A$2:$B$982,2,FALSE)),"",VLOOKUP(G16,Key!$A$2:$B$982,2,FALSE))</f>
        <v/>
      </c>
      <c r="I16" s="4" t="n"/>
      <c r="J16" s="44" t="n"/>
      <c r="K16" s="50" t="inlineStr"/>
      <c r="L16" s="50">
        <f>IF(ISERROR(VLOOKUP(K16,Key!$A$2:$B$982,2,FALSE)),"",VLOOKUP(K16,Key!$A$2:$B$982,2,FALSE))</f>
        <v/>
      </c>
      <c r="M16" s="4" t="n">
        <v>11</v>
      </c>
      <c r="N16" s="44">
        <f>(ROUND((M16-0.5)/233*809+0.5,0)-0.5)/809*Calculator!$AD$2</f>
        <v/>
      </c>
      <c r="O16" s="50" t="n">
        <v>11</v>
      </c>
      <c r="P16" s="50">
        <f>IF(ISERROR(VLOOKUP(O16,Key!$A$2:$B$982,2,FALSE)),"",VLOOKUP(O16,Key!$A$2:$B$982,2,FALSE))</f>
        <v/>
      </c>
    </row>
    <row r="17" ht="15" customHeight="1" s="71">
      <c r="A17" s="4" t="n"/>
      <c r="B17" s="44" t="n"/>
      <c r="C17" s="50" t="inlineStr"/>
      <c r="D17" s="50">
        <f>IF(ISERROR(VLOOKUP(C17,Key!$A$2:$B$982,2,FALSE)),"",VLOOKUP(C17,Key!$A$2:$B$982,2,FALSE))</f>
        <v/>
      </c>
      <c r="E17" s="4" t="n"/>
      <c r="F17" s="44" t="n"/>
      <c r="G17" s="50" t="inlineStr"/>
      <c r="H17" s="50">
        <f>IF(ISERROR(VLOOKUP(G17,Key!$A$2:$B$982,2,FALSE)),"",VLOOKUP(G17,Key!$A$2:$B$982,2,FALSE))</f>
        <v/>
      </c>
      <c r="I17" s="4" t="n"/>
      <c r="J17" s="44" t="n"/>
      <c r="K17" s="50" t="inlineStr"/>
      <c r="L17" s="50">
        <f>IF(ISERROR(VLOOKUP(K17,Key!$A$2:$B$982,2,FALSE)),"",VLOOKUP(K17,Key!$A$2:$B$982,2,FALSE))</f>
        <v/>
      </c>
      <c r="M17" s="4" t="n">
        <v>12</v>
      </c>
      <c r="N17" s="44">
        <f>(ROUND((M17-0.5)/233*809+0.5,0)-0.5)/809*Calculator!$AD$2</f>
        <v/>
      </c>
      <c r="O17" s="50" t="n">
        <v>12</v>
      </c>
      <c r="P17" s="50">
        <f>IF(ISERROR(VLOOKUP(O17,Key!$A$2:$B$982,2,FALSE)),"",VLOOKUP(O17,Key!$A$2:$B$982,2,FALSE))</f>
        <v/>
      </c>
    </row>
    <row r="18" ht="15" customHeight="1" s="71">
      <c r="A18" s="4" t="n"/>
      <c r="B18" s="44" t="n"/>
      <c r="C18" s="50" t="inlineStr"/>
      <c r="D18" s="50">
        <f>IF(ISERROR(VLOOKUP(C18,Key!$A$2:$B$982,2,FALSE)),"",VLOOKUP(C18,Key!$A$2:$B$982,2,FALSE))</f>
        <v/>
      </c>
      <c r="E18" s="4" t="n"/>
      <c r="F18" s="44" t="n"/>
      <c r="G18" s="50" t="inlineStr"/>
      <c r="H18" s="50">
        <f>IF(ISERROR(VLOOKUP(G18,Key!$A$2:$B$982,2,FALSE)),"",VLOOKUP(G18,Key!$A$2:$B$982,2,FALSE))</f>
        <v/>
      </c>
      <c r="I18" s="4" t="n"/>
      <c r="J18" s="44" t="n"/>
      <c r="K18" s="50" t="inlineStr"/>
      <c r="L18" s="50">
        <f>IF(ISERROR(VLOOKUP(K18,Key!$A$2:$B$982,2,FALSE)),"",VLOOKUP(K18,Key!$A$2:$B$982,2,FALSE))</f>
        <v/>
      </c>
      <c r="M18" s="4" t="n">
        <v>13</v>
      </c>
      <c r="N18" s="44">
        <f>(ROUND((M18-0.5)/233*809+0.5,0)-0.5)/809*Calculator!$AD$2</f>
        <v/>
      </c>
      <c r="O18" s="50" t="n">
        <v>13</v>
      </c>
      <c r="P18" s="50">
        <f>IF(ISERROR(VLOOKUP(O18,Key!$A$2:$B$982,2,FALSE)),"",VLOOKUP(O18,Key!$A$2:$B$982,2,FALSE))</f>
        <v/>
      </c>
    </row>
    <row r="19" ht="15" customHeight="1" s="71">
      <c r="A19" s="4" t="n"/>
      <c r="B19" s="44" t="n"/>
      <c r="C19" s="50" t="inlineStr"/>
      <c r="D19" s="50">
        <f>IF(ISERROR(VLOOKUP(C19,Key!$A$2:$B$982,2,FALSE)),"",VLOOKUP(C19,Key!$A$2:$B$982,2,FALSE))</f>
        <v/>
      </c>
      <c r="E19" s="4" t="n">
        <v>3</v>
      </c>
      <c r="F19" s="44" t="n">
        <v>6.53442865473869</v>
      </c>
      <c r="G19" s="50" t="n">
        <v>18</v>
      </c>
      <c r="H19" s="50">
        <f>IF(ISERROR(VLOOKUP(G19,Key!$A$2:$B$982,2,FALSE)),"",VLOOKUP(G19,Key!$A$2:$B$982,2,FALSE))</f>
        <v/>
      </c>
      <c r="I19" s="4" t="n">
        <v>4</v>
      </c>
      <c r="J19" s="44" t="n">
        <v>6.53442865473869</v>
      </c>
      <c r="K19" s="50" t="n">
        <v>14</v>
      </c>
      <c r="L19" s="50">
        <f>IF(ISERROR(VLOOKUP(K19,Key!$A$2:$B$982,2,FALSE)),"",VLOOKUP(K19,Key!$A$2:$B$982,2,FALSE))</f>
        <v/>
      </c>
      <c r="M19" s="4" t="n">
        <v>14</v>
      </c>
      <c r="N19" s="44">
        <f>(ROUND((M19-0.5)/233*809+0.5,0)-0.5)/809*Calculator!$AD$2</f>
        <v/>
      </c>
      <c r="O19" s="50" t="n">
        <v>14</v>
      </c>
      <c r="P19" s="50">
        <f>IF(ISERROR(VLOOKUP(O19,Key!$A$2:$B$982,2,FALSE)),"",VLOOKUP(O19,Key!$A$2:$B$982,2,FALSE))</f>
        <v/>
      </c>
    </row>
    <row r="20" ht="15" customHeight="1" s="71">
      <c r="A20" s="4" t="n"/>
      <c r="B20" s="44" t="n"/>
      <c r="C20" s="50" t="inlineStr"/>
      <c r="D20" s="50">
        <f>IF(ISERROR(VLOOKUP(C20,Key!$A$2:$B$982,2,FALSE)),"",VLOOKUP(C20,Key!$A$2:$B$982,2,FALSE))</f>
        <v/>
      </c>
      <c r="E20" s="4" t="n"/>
      <c r="F20" s="44" t="n"/>
      <c r="G20" s="50" t="inlineStr"/>
      <c r="H20" s="50">
        <f>IF(ISERROR(VLOOKUP(G20,Key!$A$2:$B$982,2,FALSE)),"",VLOOKUP(G20,Key!$A$2:$B$982,2,FALSE))</f>
        <v/>
      </c>
      <c r="I20" s="4" t="n">
        <v>4.2</v>
      </c>
      <c r="J20" s="44" t="n">
        <v>7.09653004439364</v>
      </c>
      <c r="K20" s="50" t="n">
        <v>16</v>
      </c>
      <c r="L20" s="50">
        <f>IF(ISERROR(VLOOKUP(K20,Key!$A$2:$B$982,2,FALSE)),"",VLOOKUP(K20,Key!$A$2:$B$982,2,FALSE))</f>
        <v/>
      </c>
      <c r="M20" s="4" t="n">
        <v>15</v>
      </c>
      <c r="N20" s="44">
        <f>(ROUND((M20-0.5)/233*809+0.5,0)-0.5)/809*Calculator!$AD$2</f>
        <v/>
      </c>
      <c r="O20" s="50" t="n">
        <v>15</v>
      </c>
      <c r="P20" s="50">
        <f>IF(ISERROR(VLOOKUP(O20,Key!$A$2:$B$982,2,FALSE)),"",VLOOKUP(O20,Key!$A$2:$B$982,2,FALSE))</f>
        <v/>
      </c>
    </row>
    <row r="21" ht="15" customHeight="1" s="71">
      <c r="A21" s="4" t="n"/>
      <c r="B21" s="44" t="n"/>
      <c r="C21" s="50" t="inlineStr"/>
      <c r="D21" s="50">
        <f>IF(ISERROR(VLOOKUP(C21,Key!$A$2:$B$982,2,FALSE)),"",VLOOKUP(C21,Key!$A$2:$B$982,2,FALSE))</f>
        <v/>
      </c>
      <c r="E21" s="4" t="n"/>
      <c r="F21" s="44" t="n"/>
      <c r="G21" s="50" t="inlineStr"/>
      <c r="H21" s="50">
        <f>IF(ISERROR(VLOOKUP(G21,Key!$A$2:$B$982,2,FALSE)),"",VLOOKUP(G21,Key!$A$2:$B$982,2,FALSE))</f>
        <v/>
      </c>
      <c r="I21" s="4" t="n"/>
      <c r="J21" s="44" t="n"/>
      <c r="K21" s="50" t="inlineStr"/>
      <c r="L21" s="50">
        <f>IF(ISERROR(VLOOKUP(K21,Key!$A$2:$B$982,2,FALSE)),"",VLOOKUP(K21,Key!$A$2:$B$982,2,FALSE))</f>
        <v/>
      </c>
      <c r="M21" s="4" t="n">
        <v>16</v>
      </c>
      <c r="N21" s="44">
        <f>(ROUND((M21-0.5)/233*809+0.5,0)-0.5)/809*Calculator!$AD$2</f>
        <v/>
      </c>
      <c r="O21" s="50" t="n">
        <v>16</v>
      </c>
      <c r="P21" s="50">
        <f>IF(ISERROR(VLOOKUP(O21,Key!$A$2:$B$982,2,FALSE)),"",VLOOKUP(O21,Key!$A$2:$B$982,2,FALSE))</f>
        <v/>
      </c>
    </row>
    <row r="22" ht="15" customHeight="1" s="71">
      <c r="A22" s="4" t="n">
        <v>2</v>
      </c>
      <c r="B22" s="44" t="n">
        <v>8.080207476289781</v>
      </c>
      <c r="C22" s="50" t="n">
        <v>20</v>
      </c>
      <c r="D22" s="50">
        <f>IF(ISERROR(VLOOKUP(C22,Key!$A$2:$B$982,2,FALSE)),"",VLOOKUP(C22,Key!$A$2:$B$982,2,FALSE))</f>
        <v/>
      </c>
      <c r="E22" s="4" t="n"/>
      <c r="F22" s="44" t="n"/>
      <c r="G22" s="50" t="inlineStr"/>
      <c r="H22" s="50">
        <f>IF(ISERROR(VLOOKUP(G22,Key!$A$2:$B$982,2,FALSE)),"",VLOOKUP(G22,Key!$A$2:$B$982,2,FALSE))</f>
        <v/>
      </c>
      <c r="I22" s="4" t="n">
        <v>4.6</v>
      </c>
      <c r="J22" s="44" t="n">
        <v>8.080207476289781</v>
      </c>
      <c r="K22" s="50" t="n">
        <v>18</v>
      </c>
      <c r="L22" s="50">
        <f>IF(ISERROR(VLOOKUP(K22,Key!$A$2:$B$982,2,FALSE)),"",VLOOKUP(K22,Key!$A$2:$B$982,2,FALSE))</f>
        <v/>
      </c>
      <c r="M22" s="4" t="n">
        <v>17</v>
      </c>
      <c r="N22" s="44">
        <f>(ROUND((M22-0.5)/233*809+0.5,0)-0.5)/809*Calculator!$AD$2</f>
        <v/>
      </c>
      <c r="O22" s="50" t="n">
        <v>17</v>
      </c>
      <c r="P22" s="50">
        <f>IF(ISERROR(VLOOKUP(O22,Key!$A$2:$B$982,2,FALSE)),"",VLOOKUP(O22,Key!$A$2:$B$982,2,FALSE))</f>
        <v/>
      </c>
    </row>
    <row r="23" ht="15" customHeight="1" s="71">
      <c r="A23" s="4" t="n"/>
      <c r="B23" s="44" t="n"/>
      <c r="C23" s="50" t="inlineStr"/>
      <c r="D23" s="50">
        <f>IF(ISERROR(VLOOKUP(C23,Key!$A$2:$B$982,2,FALSE)),"",VLOOKUP(C23,Key!$A$2:$B$982,2,FALSE))</f>
        <v/>
      </c>
      <c r="E23" s="4" t="n"/>
      <c r="F23" s="44" t="n"/>
      <c r="G23" s="50" t="inlineStr"/>
      <c r="H23" s="50">
        <f>IF(ISERROR(VLOOKUP(G23,Key!$A$2:$B$982,2,FALSE)),"",VLOOKUP(G23,Key!$A$2:$B$982,2,FALSE))</f>
        <v/>
      </c>
      <c r="I23" s="4" t="n"/>
      <c r="J23" s="44" t="n"/>
      <c r="K23" s="50" t="inlineStr"/>
      <c r="L23" s="50">
        <f>IF(ISERROR(VLOOKUP(K23,Key!$A$2:$B$982,2,FALSE)),"",VLOOKUP(K23,Key!$A$2:$B$982,2,FALSE))</f>
        <v/>
      </c>
      <c r="M23" s="4" t="n">
        <v>18</v>
      </c>
      <c r="N23" s="44">
        <f>(ROUND((M23-0.5)/233*809+0.5,0)-0.5)/809*Calculator!$AD$2</f>
        <v/>
      </c>
      <c r="O23" s="50" t="n">
        <v>18</v>
      </c>
      <c r="P23" s="50">
        <f>IF(ISERROR(VLOOKUP(O23,Key!$A$2:$B$982,2,FALSE)),"",VLOOKUP(O23,Key!$A$2:$B$982,2,FALSE))</f>
        <v/>
      </c>
    </row>
    <row r="24" ht="15" customHeight="1" s="71">
      <c r="A24" s="4" t="n"/>
      <c r="B24" s="44" t="n"/>
      <c r="C24" s="50" t="inlineStr"/>
      <c r="D24" s="50">
        <f>IF(ISERROR(VLOOKUP(C24,Key!$A$2:$B$982,2,FALSE)),"",VLOOKUP(C24,Key!$A$2:$B$982,2,FALSE))</f>
        <v/>
      </c>
      <c r="E24" s="4" t="n">
        <v>4</v>
      </c>
      <c r="F24" s="44" t="n">
        <v>9.06388490818593</v>
      </c>
      <c r="G24" s="50" t="n">
        <v>20</v>
      </c>
      <c r="H24" s="50">
        <f>IF(ISERROR(VLOOKUP(G24,Key!$A$2:$B$982,2,FALSE)),"",VLOOKUP(G24,Key!$A$2:$B$982,2,FALSE))</f>
        <v/>
      </c>
      <c r="I24" s="4" t="n">
        <v>5</v>
      </c>
      <c r="J24" s="44" t="n">
        <v>9.06388490818593</v>
      </c>
      <c r="K24" s="50" t="n">
        <v>20</v>
      </c>
      <c r="L24" s="50">
        <f>IF(ISERROR(VLOOKUP(K24,Key!$A$2:$B$982,2,FALSE)),"",VLOOKUP(K24,Key!$A$2:$B$982,2,FALSE))</f>
        <v/>
      </c>
      <c r="M24" s="4" t="n">
        <v>19</v>
      </c>
      <c r="N24" s="44">
        <f>(ROUND((M24-0.5)/233*809+0.5,0)-0.5)/809*Calculator!$AD$2</f>
        <v/>
      </c>
      <c r="O24" s="50" t="n">
        <v>19</v>
      </c>
      <c r="P24" s="50">
        <f>IF(ISERROR(VLOOKUP(O24,Key!$A$2:$B$982,2,FALSE)),"",VLOOKUP(O24,Key!$A$2:$B$982,2,FALSE))</f>
        <v/>
      </c>
    </row>
    <row r="25" ht="15" customHeight="1" s="71">
      <c r="A25" s="4" t="n"/>
      <c r="B25" s="44" t="n"/>
      <c r="C25" s="50" t="inlineStr"/>
      <c r="D25" s="50">
        <f>IF(ISERROR(VLOOKUP(C25,Key!$A$2:$B$982,2,FALSE)),"",VLOOKUP(C25,Key!$A$2:$B$982,2,FALSE))</f>
        <v/>
      </c>
      <c r="E25" s="4" t="n"/>
      <c r="F25" s="44" t="n"/>
      <c r="G25" s="50" t="inlineStr"/>
      <c r="H25" s="50">
        <f>IF(ISERROR(VLOOKUP(G25,Key!$A$2:$B$982,2,FALSE)),"",VLOOKUP(G25,Key!$A$2:$B$982,2,FALSE))</f>
        <v/>
      </c>
      <c r="I25" s="4" t="n"/>
      <c r="J25" s="44" t="n"/>
      <c r="K25" s="50" t="inlineStr"/>
      <c r="L25" s="50">
        <f>IF(ISERROR(VLOOKUP(K25,Key!$A$2:$B$982,2,FALSE)),"",VLOOKUP(K25,Key!$A$2:$B$982,2,FALSE))</f>
        <v/>
      </c>
      <c r="M25" s="4" t="n">
        <v>20</v>
      </c>
      <c r="N25" s="44">
        <f>(ROUND((M25-0.5)/233*809+0.5,0)-0.5)/809*Calculator!$AD$2</f>
        <v/>
      </c>
      <c r="O25" s="50" t="n">
        <v>20</v>
      </c>
      <c r="P25" s="50">
        <f>IF(ISERROR(VLOOKUP(O25,Key!$A$2:$B$982,2,FALSE)),"",VLOOKUP(O25,Key!$A$2:$B$982,2,FALSE))</f>
        <v/>
      </c>
    </row>
    <row r="26" ht="15" customHeight="1" s="71">
      <c r="A26" s="4" t="n"/>
      <c r="B26" s="44" t="n"/>
      <c r="C26" s="50" t="inlineStr"/>
      <c r="D26" s="50">
        <f>IF(ISERROR(VLOOKUP(C26,Key!$A$2:$B$982,2,FALSE)),"",VLOOKUP(C26,Key!$A$2:$B$982,2,FALSE))</f>
        <v/>
      </c>
      <c r="E26" s="4" t="n"/>
      <c r="F26" s="44" t="n"/>
      <c r="G26" s="50" t="inlineStr"/>
      <c r="H26" s="50">
        <f>IF(ISERROR(VLOOKUP(G26,Key!$A$2:$B$982,2,FALSE)),"",VLOOKUP(G26,Key!$A$2:$B$982,2,FALSE))</f>
        <v/>
      </c>
      <c r="I26" s="4" t="n"/>
      <c r="J26" s="44" t="n"/>
      <c r="K26" s="50" t="inlineStr"/>
      <c r="L26" s="50">
        <f>IF(ISERROR(VLOOKUP(K26,Key!$A$2:$B$982,2,FALSE)),"",VLOOKUP(K26,Key!$A$2:$B$982,2,FALSE))</f>
        <v/>
      </c>
      <c r="M26" s="4" t="n">
        <v>21</v>
      </c>
      <c r="N26" s="44">
        <f>(ROUND((M26-0.5)/233*809+0.5,0)-0.5)/809*Calculator!$AD$2</f>
        <v/>
      </c>
      <c r="O26" s="50" t="n">
        <v>21</v>
      </c>
      <c r="P26" s="50">
        <f>IF(ISERROR(VLOOKUP(O26,Key!$A$2:$B$982,2,FALSE)),"",VLOOKUP(O26,Key!$A$2:$B$982,2,FALSE))</f>
        <v/>
      </c>
    </row>
    <row r="27" ht="15" customHeight="1" s="71">
      <c r="A27" s="4" t="n"/>
      <c r="B27" s="44" t="n"/>
      <c r="C27" s="50" t="inlineStr"/>
      <c r="D27" s="50">
        <f>IF(ISERROR(VLOOKUP(C27,Key!$A$2:$B$982,2,FALSE)),"",VLOOKUP(C27,Key!$A$2:$B$982,2,FALSE))</f>
        <v/>
      </c>
      <c r="E27" s="4" t="n"/>
      <c r="F27" s="44" t="n"/>
      <c r="G27" s="50" t="inlineStr"/>
      <c r="H27" s="50">
        <f>IF(ISERROR(VLOOKUP(G27,Key!$A$2:$B$982,2,FALSE)),"",VLOOKUP(G27,Key!$A$2:$B$982,2,FALSE))</f>
        <v/>
      </c>
      <c r="I27" s="4" t="n"/>
      <c r="J27" s="44" t="n"/>
      <c r="K27" s="50" t="inlineStr"/>
      <c r="L27" s="50">
        <f>IF(ISERROR(VLOOKUP(K27,Key!$A$2:$B$982,2,FALSE)),"",VLOOKUP(K27,Key!$A$2:$B$982,2,FALSE))</f>
        <v/>
      </c>
      <c r="M27" s="4" t="n">
        <v>22</v>
      </c>
      <c r="N27" s="44">
        <f>(ROUND((M27-0.5)/233*809+0.5,0)-0.5)/809*Calculator!$AD$2</f>
        <v/>
      </c>
      <c r="O27" s="50" t="n">
        <v>22</v>
      </c>
      <c r="P27" s="50">
        <f>IF(ISERROR(VLOOKUP(O27,Key!$A$2:$B$982,2,FALSE)),"",VLOOKUP(O27,Key!$A$2:$B$982,2,FALSE))</f>
        <v/>
      </c>
    </row>
    <row r="28" ht="15" customHeight="1" s="71">
      <c r="A28" s="4" t="n"/>
      <c r="B28" s="44" t="n"/>
      <c r="C28" s="50" t="inlineStr"/>
      <c r="D28" s="50">
        <f>IF(ISERROR(VLOOKUP(C28,Key!$A$2:$B$982,2,FALSE)),"",VLOOKUP(C28,Key!$A$2:$B$982,2,FALSE))</f>
        <v/>
      </c>
      <c r="E28" s="4" t="n">
        <v>5</v>
      </c>
      <c r="F28" s="44" t="n">
        <v>11.0312397719782</v>
      </c>
      <c r="G28" s="50" t="n">
        <v>25</v>
      </c>
      <c r="H28" s="50">
        <f>IF(ISERROR(VLOOKUP(G28,Key!$A$2:$B$982,2,FALSE)),"",VLOOKUP(G28,Key!$A$2:$B$982,2,FALSE))</f>
        <v/>
      </c>
      <c r="I28" s="45" t="n">
        <v>6</v>
      </c>
      <c r="J28" s="44" t="n">
        <v>11.0312397719782</v>
      </c>
      <c r="K28" s="50" t="n">
        <v>24</v>
      </c>
      <c r="L28" s="50">
        <f>IF(ISERROR(VLOOKUP(K28,Key!$A$2:$B$982,2,FALSE)),"",VLOOKUP(K28,Key!$A$2:$B$982,2,FALSE))</f>
        <v/>
      </c>
      <c r="M28" s="4" t="n">
        <v>23</v>
      </c>
      <c r="N28" s="44">
        <f>(ROUND((M28-0.5)/233*809+0.5,0)-0.5)/809*Calculator!$AD$2</f>
        <v/>
      </c>
      <c r="O28" s="50" t="n">
        <v>23</v>
      </c>
      <c r="P28" s="50">
        <f>IF(ISERROR(VLOOKUP(O28,Key!$A$2:$B$982,2,FALSE)),"",VLOOKUP(O28,Key!$A$2:$B$982,2,FALSE))</f>
        <v/>
      </c>
    </row>
    <row r="29" ht="15" customHeight="1" s="71">
      <c r="A29" s="4" t="n"/>
      <c r="B29" s="44" t="n"/>
      <c r="C29" s="50" t="inlineStr"/>
      <c r="D29" s="50">
        <f>IF(ISERROR(VLOOKUP(C29,Key!$A$2:$B$982,2,FALSE)),"",VLOOKUP(C29,Key!$A$2:$B$982,2,FALSE))</f>
        <v/>
      </c>
      <c r="E29" s="4" t="n"/>
      <c r="F29" s="44" t="n"/>
      <c r="G29" s="50" t="inlineStr"/>
      <c r="H29" s="50">
        <f>IF(ISERROR(VLOOKUP(G29,Key!$A$2:$B$982,2,FALSE)),"",VLOOKUP(G29,Key!$A$2:$B$982,2,FALSE))</f>
        <v/>
      </c>
      <c r="I29" s="4" t="n"/>
      <c r="J29" s="44" t="n"/>
      <c r="K29" s="50" t="inlineStr"/>
      <c r="L29" s="50">
        <f>IF(ISERROR(VLOOKUP(K29,Key!$A$2:$B$982,2,FALSE)),"",VLOOKUP(K29,Key!$A$2:$B$982,2,FALSE))</f>
        <v/>
      </c>
      <c r="M29" s="4" t="n">
        <v>24</v>
      </c>
      <c r="N29" s="44">
        <f>(ROUND((M29-0.5)/233*809+0.5,0)-0.5)/809*Calculator!$AD$2</f>
        <v/>
      </c>
      <c r="O29" s="50" t="n">
        <v>24</v>
      </c>
      <c r="P29" s="50">
        <f>IF(ISERROR(VLOOKUP(O29,Key!$A$2:$B$982,2,FALSE)),"",VLOOKUP(O29,Key!$A$2:$B$982,2,FALSE))</f>
        <v/>
      </c>
    </row>
    <row r="30" ht="15" customHeight="1" s="71">
      <c r="A30" s="4" t="n"/>
      <c r="B30" s="44" t="n"/>
      <c r="C30" s="50" t="inlineStr"/>
      <c r="D30" s="50">
        <f>IF(ISERROR(VLOOKUP(C30,Key!$A$2:$B$982,2,FALSE)),"",VLOOKUP(C30,Key!$A$2:$B$982,2,FALSE))</f>
        <v/>
      </c>
      <c r="E30" s="4" t="n"/>
      <c r="F30" s="44" t="n"/>
      <c r="G30" s="50" t="inlineStr"/>
      <c r="H30" s="50">
        <f>IF(ISERROR(VLOOKUP(G30,Key!$A$2:$B$982,2,FALSE)),"",VLOOKUP(G30,Key!$A$2:$B$982,2,FALSE))</f>
        <v/>
      </c>
      <c r="I30" s="4" t="n">
        <v>6.4</v>
      </c>
      <c r="J30" s="44" t="n">
        <v>12.0149172038744</v>
      </c>
      <c r="K30" s="50" t="n">
        <v>25</v>
      </c>
      <c r="L30" s="50">
        <f>IF(ISERROR(VLOOKUP(K30,Key!$A$2:$B$982,2,FALSE)),"",VLOOKUP(K30,Key!$A$2:$B$982,2,FALSE))</f>
        <v/>
      </c>
      <c r="M30" s="4" t="n">
        <v>25</v>
      </c>
      <c r="N30" s="44">
        <f>(ROUND((M30-0.5)/233*809+0.5,0)-0.5)/809*Calculator!$AD$2</f>
        <v/>
      </c>
      <c r="O30" s="50" t="n">
        <v>25</v>
      </c>
      <c r="P30" s="50">
        <f>IF(ISERROR(VLOOKUP(O30,Key!$A$2:$B$982,2,FALSE)),"",VLOOKUP(O30,Key!$A$2:$B$982,2,FALSE))</f>
        <v/>
      </c>
    </row>
    <row r="31" ht="15" customHeight="1" s="71">
      <c r="A31" s="4" t="n"/>
      <c r="B31" s="44" t="n"/>
      <c r="C31" s="50" t="inlineStr"/>
      <c r="D31" s="50">
        <f>IF(ISERROR(VLOOKUP(C31,Key!$A$2:$B$982,2,FALSE)),"",VLOOKUP(C31,Key!$A$2:$B$982,2,FALSE))</f>
        <v/>
      </c>
      <c r="E31" s="4" t="n"/>
      <c r="F31" s="44" t="n"/>
      <c r="G31" s="50" t="inlineStr"/>
      <c r="H31" s="50">
        <f>IF(ISERROR(VLOOKUP(G31,Key!$A$2:$B$982,2,FALSE)),"",VLOOKUP(G31,Key!$A$2:$B$982,2,FALSE))</f>
        <v/>
      </c>
      <c r="I31" s="4" t="n">
        <v>6.6</v>
      </c>
      <c r="J31" s="44" t="n">
        <v>12.4364932461156</v>
      </c>
      <c r="K31" s="50" t="n">
        <v>26</v>
      </c>
      <c r="L31" s="50">
        <f>IF(ISERROR(VLOOKUP(K31,Key!$A$2:$B$982,2,FALSE)),"",VLOOKUP(K31,Key!$A$2:$B$982,2,FALSE))</f>
        <v/>
      </c>
      <c r="M31" s="4" t="n">
        <v>26</v>
      </c>
      <c r="N31" s="44">
        <f>(ROUND((M31-0.5)/233*809+0.5,0)-0.5)/809*Calculator!$AD$2</f>
        <v/>
      </c>
      <c r="O31" s="50" t="n">
        <v>26</v>
      </c>
      <c r="P31" s="50">
        <f>IF(ISERROR(VLOOKUP(O31,Key!$A$2:$B$982,2,FALSE)),"",VLOOKUP(O31,Key!$A$2:$B$982,2,FALSE))</f>
        <v/>
      </c>
    </row>
    <row r="32" ht="15" customHeight="1" s="71">
      <c r="A32" s="4" t="n"/>
      <c r="B32" s="44" t="n"/>
      <c r="C32" s="50" t="inlineStr"/>
      <c r="D32" s="50">
        <f>IF(ISERROR(VLOOKUP(C32,Key!$A$2:$B$982,2,FALSE)),"",VLOOKUP(C32,Key!$A$2:$B$982,2,FALSE))</f>
        <v/>
      </c>
      <c r="E32" s="4" t="n"/>
      <c r="F32" s="44" t="n"/>
      <c r="G32" s="50" t="inlineStr"/>
      <c r="H32" s="50">
        <f>IF(ISERROR(VLOOKUP(G32,Key!$A$2:$B$982,2,FALSE)),"",VLOOKUP(G32,Key!$A$2:$B$982,2,FALSE))</f>
        <v/>
      </c>
      <c r="I32" s="4" t="n"/>
      <c r="J32" s="44" t="n"/>
      <c r="K32" s="50" t="inlineStr"/>
      <c r="L32" s="50">
        <f>IF(ISERROR(VLOOKUP(K32,Key!$A$2:$B$982,2,FALSE)),"",VLOOKUP(K32,Key!$A$2:$B$982,2,FALSE))</f>
        <v/>
      </c>
      <c r="M32" s="4" t="n">
        <v>27</v>
      </c>
      <c r="N32" s="44">
        <f>(ROUND((M32-0.5)/233*809+0.5,0)-0.5)/809*Calculator!$AD$2</f>
        <v/>
      </c>
      <c r="O32" s="50" t="n">
        <v>27</v>
      </c>
      <c r="P32" s="50">
        <f>IF(ISERROR(VLOOKUP(O32,Key!$A$2:$B$982,2,FALSE)),"",VLOOKUP(O32,Key!$A$2:$B$982,2,FALSE))</f>
        <v/>
      </c>
    </row>
    <row r="33" ht="15" customHeight="1" s="71">
      <c r="A33" s="4" t="n">
        <v>3</v>
      </c>
      <c r="B33" s="44" t="n">
        <v>13.4201706780117</v>
      </c>
      <c r="C33" s="50" t="n">
        <v>30</v>
      </c>
      <c r="D33" s="50">
        <f>IF(ISERROR(VLOOKUP(C33,Key!$A$2:$B$982,2,FALSE)),"",VLOOKUP(C33,Key!$A$2:$B$982,2,FALSE))</f>
        <v/>
      </c>
      <c r="E33" s="4" t="n">
        <v>6</v>
      </c>
      <c r="F33" s="44" t="n">
        <v>13.4201706780117</v>
      </c>
      <c r="G33" s="50" t="n">
        <v>30</v>
      </c>
      <c r="H33" s="50">
        <f>IF(ISERROR(VLOOKUP(G33,Key!$A$2:$B$982,2,FALSE)),"",VLOOKUP(G33,Key!$A$2:$B$982,2,FALSE))</f>
        <v/>
      </c>
      <c r="I33" s="4" t="n">
        <v>7</v>
      </c>
      <c r="J33" s="44" t="n">
        <v>13.4201706780117</v>
      </c>
      <c r="K33" s="50" t="n">
        <v>30</v>
      </c>
      <c r="L33" s="50">
        <f>IF(ISERROR(VLOOKUP(K33,Key!$A$2:$B$982,2,FALSE)),"",VLOOKUP(K33,Key!$A$2:$B$982,2,FALSE))</f>
        <v/>
      </c>
      <c r="M33" s="4" t="n">
        <v>28</v>
      </c>
      <c r="N33" s="44">
        <f>(ROUND((M33-0.5)/233*809+0.5,0)-0.5)/809*Calculator!$AD$2</f>
        <v/>
      </c>
      <c r="O33" s="50" t="n">
        <v>28</v>
      </c>
      <c r="P33" s="50">
        <f>IF(ISERROR(VLOOKUP(O33,Key!$A$2:$B$982,2,FALSE)),"",VLOOKUP(O33,Key!$A$2:$B$982,2,FALSE))</f>
        <v/>
      </c>
    </row>
    <row r="34" ht="15" customHeight="1" s="71">
      <c r="A34" s="4" t="n"/>
      <c r="B34" s="44" t="n"/>
      <c r="C34" s="50" t="inlineStr"/>
      <c r="D34" s="50">
        <f>IF(ISERROR(VLOOKUP(C34,Key!$A$2:$B$982,2,FALSE)),"",VLOOKUP(C34,Key!$A$2:$B$982,2,FALSE))</f>
        <v/>
      </c>
      <c r="E34" s="4" t="n"/>
      <c r="F34" s="44" t="n"/>
      <c r="G34" s="50" t="inlineStr"/>
      <c r="H34" s="50">
        <f>IF(ISERROR(VLOOKUP(G34,Key!$A$2:$B$982,2,FALSE)),"",VLOOKUP(G34,Key!$A$2:$B$982,2,FALSE))</f>
        <v/>
      </c>
      <c r="I34" s="4" t="n"/>
      <c r="J34" s="44" t="n"/>
      <c r="K34" s="50" t="inlineStr"/>
      <c r="L34" s="50">
        <f>IF(ISERROR(VLOOKUP(K34,Key!$A$2:$B$982,2,FALSE)),"",VLOOKUP(K34,Key!$A$2:$B$982,2,FALSE))</f>
        <v/>
      </c>
      <c r="M34" s="4" t="n">
        <v>29</v>
      </c>
      <c r="N34" s="44">
        <f>(ROUND((M34-0.5)/233*809+0.5,0)-0.5)/809*Calculator!$AD$2</f>
        <v/>
      </c>
      <c r="O34" s="50" t="n">
        <v>29</v>
      </c>
      <c r="P34" s="50">
        <f>IF(ISERROR(VLOOKUP(O34,Key!$A$2:$B$982,2,FALSE)),"",VLOOKUP(O34,Key!$A$2:$B$982,2,FALSE))</f>
        <v/>
      </c>
    </row>
    <row r="35" ht="15" customHeight="1" s="71">
      <c r="A35" s="4" t="n"/>
      <c r="B35" s="44" t="n"/>
      <c r="C35" s="50" t="inlineStr"/>
      <c r="D35" s="50">
        <f>IF(ISERROR(VLOOKUP(C35,Key!$A$2:$B$982,2,FALSE)),"",VLOOKUP(C35,Key!$A$2:$B$982,2,FALSE))</f>
        <v/>
      </c>
      <c r="E35" s="4" t="n"/>
      <c r="F35" s="44" t="n"/>
      <c r="G35" s="50" t="inlineStr"/>
      <c r="H35" s="50">
        <f>IF(ISERROR(VLOOKUP(G35,Key!$A$2:$B$982,2,FALSE)),"",VLOOKUP(G35,Key!$A$2:$B$982,2,FALSE))</f>
        <v/>
      </c>
      <c r="I35" s="4" t="n"/>
      <c r="J35" s="44" t="n"/>
      <c r="K35" s="50" t="inlineStr"/>
      <c r="L35" s="50">
        <f>IF(ISERROR(VLOOKUP(K35,Key!$A$2:$B$982,2,FALSE)),"",VLOOKUP(K35,Key!$A$2:$B$982,2,FALSE))</f>
        <v/>
      </c>
      <c r="M35" s="4" t="n">
        <v>30</v>
      </c>
      <c r="N35" s="44">
        <f>(ROUND((M35-0.5)/233*809+0.5,0)-0.5)/809*Calculator!$AD$2</f>
        <v/>
      </c>
      <c r="O35" s="50" t="n">
        <v>30</v>
      </c>
      <c r="P35" s="50">
        <f>IF(ISERROR(VLOOKUP(O35,Key!$A$2:$B$982,2,FALSE)),"",VLOOKUP(O35,Key!$A$2:$B$982,2,FALSE))</f>
        <v/>
      </c>
    </row>
    <row r="36" ht="15" customHeight="1" s="71">
      <c r="A36" s="4" t="n"/>
      <c r="B36" s="44" t="n"/>
      <c r="C36" s="50" t="inlineStr"/>
      <c r="D36" s="50">
        <f>IF(ISERROR(VLOOKUP(C36,Key!$A$2:$B$982,2,FALSE)),"",VLOOKUP(C36,Key!$A$2:$B$982,2,FALSE))</f>
        <v/>
      </c>
      <c r="E36" s="4" t="n"/>
      <c r="F36" s="44" t="n"/>
      <c r="G36" s="50" t="inlineStr"/>
      <c r="H36" s="50">
        <f>IF(ISERROR(VLOOKUP(G36,Key!$A$2:$B$982,2,FALSE)),"",VLOOKUP(G36,Key!$A$2:$B$982,2,FALSE))</f>
        <v/>
      </c>
      <c r="I36" s="4" t="n"/>
      <c r="J36" s="44" t="n"/>
      <c r="K36" s="50" t="inlineStr"/>
      <c r="L36" s="50">
        <f>IF(ISERROR(VLOOKUP(K36,Key!$A$2:$B$982,2,FALSE)),"",VLOOKUP(K36,Key!$A$2:$B$982,2,FALSE))</f>
        <v/>
      </c>
      <c r="M36" s="4" t="n">
        <v>31</v>
      </c>
      <c r="N36" s="44">
        <f>(ROUND((M36-0.5)/233*809+0.5,0)-0.5)/809*Calculator!$AD$2</f>
        <v/>
      </c>
      <c r="O36" s="50" t="n">
        <v>31</v>
      </c>
      <c r="P36" s="50">
        <f>IF(ISERROR(VLOOKUP(O36,Key!$A$2:$B$982,2,FALSE)),"",VLOOKUP(O36,Key!$A$2:$B$982,2,FALSE))</f>
        <v/>
      </c>
    </row>
    <row r="37" ht="15" customHeight="1" s="71">
      <c r="A37" s="4" t="n"/>
      <c r="B37" s="44" t="n"/>
      <c r="C37" s="50" t="inlineStr"/>
      <c r="D37" s="50">
        <f>IF(ISERROR(VLOOKUP(C37,Key!$A$2:$B$982,2,FALSE)),"",VLOOKUP(C37,Key!$A$2:$B$982,2,FALSE))</f>
        <v/>
      </c>
      <c r="E37" s="4" t="n">
        <v>7</v>
      </c>
      <c r="F37" s="44" t="n">
        <v>15.387525541804</v>
      </c>
      <c r="G37" s="50" t="n">
        <v>34</v>
      </c>
      <c r="H37" s="50">
        <f>IF(ISERROR(VLOOKUP(G37,Key!$A$2:$B$982,2,FALSE)),"",VLOOKUP(G37,Key!$A$2:$B$982,2,FALSE))</f>
        <v/>
      </c>
      <c r="I37" s="4" t="n">
        <v>8</v>
      </c>
      <c r="J37" s="44" t="n">
        <v>15.387525541804</v>
      </c>
      <c r="K37" s="50" t="n">
        <v>34</v>
      </c>
      <c r="L37" s="50">
        <f>IF(ISERROR(VLOOKUP(K37,Key!$A$2:$B$982,2,FALSE)),"",VLOOKUP(K37,Key!$A$2:$B$982,2,FALSE))</f>
        <v/>
      </c>
      <c r="M37" s="4" t="n">
        <v>32</v>
      </c>
      <c r="N37" s="44">
        <f>(ROUND((M37-0.5)/233*809+0.5,0)-0.5)/809*Calculator!$AD$2</f>
        <v/>
      </c>
      <c r="O37" s="50" t="n">
        <v>32</v>
      </c>
      <c r="P37" s="50">
        <f>IF(ISERROR(VLOOKUP(O37,Key!$A$2:$B$982,2,FALSE)),"",VLOOKUP(O37,Key!$A$2:$B$982,2,FALSE))</f>
        <v/>
      </c>
    </row>
    <row r="38" ht="15" customHeight="1" s="71">
      <c r="A38" s="4" t="n"/>
      <c r="B38" s="44" t="n"/>
      <c r="C38" s="50" t="inlineStr"/>
      <c r="D38" s="50">
        <f>IF(ISERROR(VLOOKUP(C38,Key!$A$2:$B$982,2,FALSE)),"",VLOOKUP(C38,Key!$A$2:$B$982,2,FALSE))</f>
        <v/>
      </c>
      <c r="E38" s="4" t="n"/>
      <c r="F38" s="44" t="n"/>
      <c r="G38" s="50" t="inlineStr"/>
      <c r="H38" s="50">
        <f>IF(ISERROR(VLOOKUP(G38,Key!$A$2:$B$982,2,FALSE)),"",VLOOKUP(G38,Key!$A$2:$B$982,2,FALSE))</f>
        <v/>
      </c>
      <c r="I38" s="4" t="n"/>
      <c r="J38" s="44" t="n"/>
      <c r="K38" s="50" t="inlineStr"/>
      <c r="L38" s="50">
        <f>IF(ISERROR(VLOOKUP(K38,Key!$A$2:$B$982,2,FALSE)),"",VLOOKUP(K38,Key!$A$2:$B$982,2,FALSE))</f>
        <v/>
      </c>
      <c r="M38" s="4" t="n">
        <v>33</v>
      </c>
      <c r="N38" s="44">
        <f>(ROUND((M38-0.5)/233*809+0.5,0)-0.5)/809*Calculator!$AD$2</f>
        <v/>
      </c>
      <c r="O38" s="50" t="n">
        <v>33</v>
      </c>
      <c r="P38" s="50">
        <f>IF(ISERROR(VLOOKUP(O38,Key!$A$2:$B$982,2,FALSE)),"",VLOOKUP(O38,Key!$A$2:$B$982,2,FALSE))</f>
        <v/>
      </c>
    </row>
    <row r="39" ht="15" customHeight="1" s="71">
      <c r="A39" s="4" t="n"/>
      <c r="B39" s="44" t="n"/>
      <c r="C39" s="50" t="inlineStr"/>
      <c r="D39" s="50">
        <f>IF(ISERROR(VLOOKUP(C39,Key!$A$2:$B$982,2,FALSE)),"",VLOOKUP(C39,Key!$A$2:$B$982,2,FALSE))</f>
        <v/>
      </c>
      <c r="E39" s="4" t="n"/>
      <c r="F39" s="44" t="n"/>
      <c r="G39" s="50" t="inlineStr"/>
      <c r="H39" s="50">
        <f>IF(ISERROR(VLOOKUP(G39,Key!$A$2:$B$982,2,FALSE)),"",VLOOKUP(G39,Key!$A$2:$B$982,2,FALSE))</f>
        <v/>
      </c>
      <c r="I39" s="4" t="n"/>
      <c r="J39" s="44" t="n"/>
      <c r="K39" s="50" t="inlineStr"/>
      <c r="L39" s="50">
        <f>IF(ISERROR(VLOOKUP(K39,Key!$A$2:$B$982,2,FALSE)),"",VLOOKUP(K39,Key!$A$2:$B$982,2,FALSE))</f>
        <v/>
      </c>
      <c r="M39" s="4" t="n">
        <v>34</v>
      </c>
      <c r="N39" s="44">
        <f>(ROUND((M39-0.5)/233*809+0.5,0)-0.5)/809*Calculator!$AD$2</f>
        <v/>
      </c>
      <c r="O39" s="50" t="n">
        <v>34</v>
      </c>
      <c r="P39" s="50">
        <f>IF(ISERROR(VLOOKUP(O39,Key!$A$2:$B$982,2,FALSE)),"",VLOOKUP(O39,Key!$A$2:$B$982,2,FALSE))</f>
        <v/>
      </c>
    </row>
    <row r="40" ht="15" customHeight="1" s="71">
      <c r="A40" s="4" t="n"/>
      <c r="B40" s="44" t="n"/>
      <c r="C40" s="50" t="inlineStr"/>
      <c r="D40" s="50">
        <f>IF(ISERROR(VLOOKUP(C40,Key!$A$2:$B$982,2,FALSE)),"",VLOOKUP(C40,Key!$A$2:$B$982,2,FALSE))</f>
        <v/>
      </c>
      <c r="E40" s="4" t="n"/>
      <c r="F40" s="44" t="n"/>
      <c r="G40" s="50" t="inlineStr"/>
      <c r="H40" s="50">
        <f>IF(ISERROR(VLOOKUP(G40,Key!$A$2:$B$982,2,FALSE)),"",VLOOKUP(G40,Key!$A$2:$B$982,2,FALSE))</f>
        <v/>
      </c>
      <c r="I40" s="4" t="n"/>
      <c r="J40" s="44" t="n"/>
      <c r="K40" s="50" t="inlineStr"/>
      <c r="L40" s="50">
        <f>IF(ISERROR(VLOOKUP(K40,Key!$A$2:$B$982,2,FALSE)),"",VLOOKUP(K40,Key!$A$2:$B$982,2,FALSE))</f>
        <v/>
      </c>
      <c r="M40" s="4" t="n">
        <v>35</v>
      </c>
      <c r="N40" s="44">
        <f>(ROUND((M40-0.5)/233*809+0.5,0)-0.5)/809*Calculator!$AD$2</f>
        <v/>
      </c>
      <c r="O40" s="50" t="n">
        <v>35</v>
      </c>
      <c r="P40" s="50">
        <f>IF(ISERROR(VLOOKUP(O40,Key!$A$2:$B$982,2,FALSE)),"",VLOOKUP(O40,Key!$A$2:$B$982,2,FALSE))</f>
        <v/>
      </c>
    </row>
    <row r="41" ht="15" customHeight="1" s="71">
      <c r="A41" s="4" t="n"/>
      <c r="B41" s="44" t="n"/>
      <c r="C41" s="50" t="inlineStr"/>
      <c r="D41" s="50">
        <f>IF(ISERROR(VLOOKUP(C41,Key!$A$2:$B$982,2,FALSE)),"",VLOOKUP(C41,Key!$A$2:$B$982,2,FALSE))</f>
        <v/>
      </c>
      <c r="E41" s="4" t="n">
        <v>7.5</v>
      </c>
      <c r="F41" s="44" t="n">
        <v>17.3548804055963</v>
      </c>
      <c r="G41" s="50" t="n">
        <v>36</v>
      </c>
      <c r="H41" s="50">
        <f>IF(ISERROR(VLOOKUP(G41,Key!$A$2:$B$982,2,FALSE)),"",VLOOKUP(G41,Key!$A$2:$B$982,2,FALSE))</f>
        <v/>
      </c>
      <c r="I41" s="4" t="n">
        <v>9</v>
      </c>
      <c r="J41" s="44" t="n">
        <v>17.3548804055963</v>
      </c>
      <c r="K41" s="50" t="n">
        <v>36</v>
      </c>
      <c r="L41" s="50">
        <f>IF(ISERROR(VLOOKUP(K41,Key!$A$2:$B$982,2,FALSE)),"",VLOOKUP(K41,Key!$A$2:$B$982,2,FALSE))</f>
        <v/>
      </c>
      <c r="M41" s="4" t="n">
        <v>36</v>
      </c>
      <c r="N41" s="44">
        <f>(ROUND((M41-0.5)/233*809+0.5,0)-0.5)/809*Calculator!$AD$2</f>
        <v/>
      </c>
      <c r="O41" s="50" t="n">
        <v>36</v>
      </c>
      <c r="P41" s="50">
        <f>IF(ISERROR(VLOOKUP(O41,Key!$A$2:$B$982,2,FALSE)),"",VLOOKUP(O41,Key!$A$2:$B$982,2,FALSE))</f>
        <v/>
      </c>
    </row>
    <row r="42" ht="15" customHeight="1" s="71">
      <c r="A42" s="4" t="n"/>
      <c r="B42" s="44" t="n"/>
      <c r="C42" s="50" t="inlineStr"/>
      <c r="D42" s="50">
        <f>IF(ISERROR(VLOOKUP(C42,Key!$A$2:$B$982,2,FALSE)),"",VLOOKUP(C42,Key!$A$2:$B$982,2,FALSE))</f>
        <v/>
      </c>
      <c r="E42" s="4" t="n"/>
      <c r="F42" s="44" t="n"/>
      <c r="G42" s="50" t="inlineStr"/>
      <c r="H42" s="50">
        <f>IF(ISERROR(VLOOKUP(G42,Key!$A$2:$B$982,2,FALSE)),"",VLOOKUP(G42,Key!$A$2:$B$982,2,FALSE))</f>
        <v/>
      </c>
      <c r="I42" s="4" t="n"/>
      <c r="J42" s="44" t="n"/>
      <c r="K42" s="50" t="inlineStr"/>
      <c r="L42" s="50">
        <f>IF(ISERROR(VLOOKUP(K42,Key!$A$2:$B$982,2,FALSE)),"",VLOOKUP(K42,Key!$A$2:$B$982,2,FALSE))</f>
        <v/>
      </c>
      <c r="M42" s="4" t="n">
        <v>37</v>
      </c>
      <c r="N42" s="44">
        <f>(ROUND((M42-0.5)/233*809+0.5,0)-0.5)/809*Calculator!$AD$2</f>
        <v/>
      </c>
      <c r="O42" s="50" t="n">
        <v>37</v>
      </c>
      <c r="P42" s="50">
        <f>IF(ISERROR(VLOOKUP(O42,Key!$A$2:$B$982,2,FALSE)),"",VLOOKUP(O42,Key!$A$2:$B$982,2,FALSE))</f>
        <v/>
      </c>
    </row>
    <row r="43" ht="15" customHeight="1" s="71">
      <c r="A43" s="4" t="n"/>
      <c r="B43" s="44" t="n"/>
      <c r="C43" s="50" t="inlineStr"/>
      <c r="D43" s="50">
        <f>IF(ISERROR(VLOOKUP(C43,Key!$A$2:$B$982,2,FALSE)),"",VLOOKUP(C43,Key!$A$2:$B$982,2,FALSE))</f>
        <v/>
      </c>
      <c r="E43" s="4" t="n"/>
      <c r="F43" s="44" t="n"/>
      <c r="G43" s="50" t="inlineStr"/>
      <c r="H43" s="50">
        <f>IF(ISERROR(VLOOKUP(G43,Key!$A$2:$B$982,2,FALSE)),"",VLOOKUP(G43,Key!$A$2:$B$982,2,FALSE))</f>
        <v/>
      </c>
      <c r="I43" s="4" t="n"/>
      <c r="J43" s="44" t="n"/>
      <c r="K43" s="50" t="inlineStr"/>
      <c r="L43" s="50">
        <f>IF(ISERROR(VLOOKUP(K43,Key!$A$2:$B$982,2,FALSE)),"",VLOOKUP(K43,Key!$A$2:$B$982,2,FALSE))</f>
        <v/>
      </c>
      <c r="M43" s="4" t="n">
        <v>38</v>
      </c>
      <c r="N43" s="44">
        <f>(ROUND((M43-0.5)/233*809+0.5,0)-0.5)/809*Calculator!$AD$2</f>
        <v/>
      </c>
      <c r="O43" s="50" t="n">
        <v>38</v>
      </c>
      <c r="P43" s="50">
        <f>IF(ISERROR(VLOOKUP(O43,Key!$A$2:$B$982,2,FALSE)),"",VLOOKUP(O43,Key!$A$2:$B$982,2,FALSE))</f>
        <v/>
      </c>
    </row>
    <row r="44" ht="15" customHeight="1" s="71">
      <c r="A44" s="4" t="n">
        <v>4</v>
      </c>
      <c r="B44" s="44" t="n">
        <v>18.7601338797337</v>
      </c>
      <c r="C44" s="50" t="n">
        <v>44</v>
      </c>
      <c r="D44" s="50">
        <f>IF(ISERROR(VLOOKUP(C44,Key!$A$2:$B$982,2,FALSE)),"",VLOOKUP(C44,Key!$A$2:$B$982,2,FALSE))</f>
        <v/>
      </c>
      <c r="E44" s="4" t="n">
        <v>8</v>
      </c>
      <c r="F44" s="44" t="n">
        <v>18.7601338797337</v>
      </c>
      <c r="G44" s="50" t="n">
        <v>41</v>
      </c>
      <c r="H44" s="50">
        <f>IF(ISERROR(VLOOKUP(G44,Key!$A$2:$B$982,2,FALSE)),"",VLOOKUP(G44,Key!$A$2:$B$982,2,FALSE))</f>
        <v/>
      </c>
      <c r="I44" s="4" t="n">
        <v>10</v>
      </c>
      <c r="J44" s="44" t="n">
        <v>18.7601338797337</v>
      </c>
      <c r="K44" s="50" t="n">
        <v>40</v>
      </c>
      <c r="L44" s="50">
        <f>IF(ISERROR(VLOOKUP(K44,Key!$A$2:$B$982,2,FALSE)),"",VLOOKUP(K44,Key!$A$2:$B$982,2,FALSE))</f>
        <v/>
      </c>
      <c r="M44" s="4" t="n">
        <v>39</v>
      </c>
      <c r="N44" s="44">
        <f>(ROUND((M44-0.5)/233*809+0.5,0)-0.5)/809*Calculator!$AD$2</f>
        <v/>
      </c>
      <c r="O44" s="50" t="n">
        <v>39</v>
      </c>
      <c r="P44" s="50">
        <f>IF(ISERROR(VLOOKUP(O44,Key!$A$2:$B$982,2,FALSE)),"",VLOOKUP(O44,Key!$A$2:$B$982,2,FALSE))</f>
        <v/>
      </c>
    </row>
    <row r="45" ht="15" customHeight="1" s="71">
      <c r="A45" s="4" t="n"/>
      <c r="B45" s="44" t="n"/>
      <c r="C45" s="50" t="inlineStr"/>
      <c r="D45" s="50">
        <f>IF(ISERROR(VLOOKUP(C45,Key!$A$2:$B$982,2,FALSE)),"",VLOOKUP(C45,Key!$A$2:$B$982,2,FALSE))</f>
        <v/>
      </c>
      <c r="E45" s="4" t="n"/>
      <c r="F45" s="44" t="n"/>
      <c r="G45" s="50" t="inlineStr"/>
      <c r="H45" s="50">
        <f>IF(ISERROR(VLOOKUP(G45,Key!$A$2:$B$982,2,FALSE)),"",VLOOKUP(G45,Key!$A$2:$B$982,2,FALSE))</f>
        <v/>
      </c>
      <c r="I45" s="4" t="n"/>
      <c r="J45" s="44" t="n"/>
      <c r="K45" s="50" t="inlineStr"/>
      <c r="L45" s="50">
        <f>IF(ISERROR(VLOOKUP(K45,Key!$A$2:$B$982,2,FALSE)),"",VLOOKUP(K45,Key!$A$2:$B$982,2,FALSE))</f>
        <v/>
      </c>
      <c r="M45" s="4" t="n">
        <v>40</v>
      </c>
      <c r="N45" s="44">
        <f>(ROUND((M45-0.5)/233*809+0.5,0)-0.5)/809*Calculator!$AD$2</f>
        <v/>
      </c>
      <c r="O45" s="50" t="n">
        <v>40</v>
      </c>
      <c r="P45" s="50">
        <f>IF(ISERROR(VLOOKUP(O45,Key!$A$2:$B$982,2,FALSE)),"",VLOOKUP(O45,Key!$A$2:$B$982,2,FALSE))</f>
        <v/>
      </c>
    </row>
    <row r="46" ht="15" customHeight="1" s="71">
      <c r="A46" s="4" t="n"/>
      <c r="B46" s="44" t="n"/>
      <c r="C46" s="50" t="inlineStr"/>
      <c r="D46" s="50">
        <f>IF(ISERROR(VLOOKUP(C46,Key!$A$2:$B$982,2,FALSE)),"",VLOOKUP(C46,Key!$A$2:$B$982,2,FALSE))</f>
        <v/>
      </c>
      <c r="E46" s="4" t="n"/>
      <c r="F46" s="44" t="n"/>
      <c r="G46" s="50" t="inlineStr"/>
      <c r="H46" s="50">
        <f>IF(ISERROR(VLOOKUP(G46,Key!$A$2:$B$982,2,FALSE)),"",VLOOKUP(G46,Key!$A$2:$B$982,2,FALSE))</f>
        <v/>
      </c>
      <c r="I46" s="4" t="n">
        <v>10.7</v>
      </c>
      <c r="J46" s="44" t="n">
        <v>19.7438113116298</v>
      </c>
      <c r="K46" s="50" t="n">
        <v>41</v>
      </c>
      <c r="L46" s="50">
        <f>IF(ISERROR(VLOOKUP(K46,Key!$A$2:$B$982,2,FALSE)),"",VLOOKUP(K46,Key!$A$2:$B$982,2,FALSE))</f>
        <v/>
      </c>
      <c r="M46" s="4" t="n">
        <v>41</v>
      </c>
      <c r="N46" s="44">
        <f>(ROUND((M46-0.5)/233*809+0.5,0)-0.5)/809*Calculator!$AD$2</f>
        <v/>
      </c>
      <c r="O46" s="50" t="n">
        <v>41</v>
      </c>
      <c r="P46" s="50">
        <f>IF(ISERROR(VLOOKUP(O46,Key!$A$2:$B$982,2,FALSE)),"",VLOOKUP(O46,Key!$A$2:$B$982,2,FALSE))</f>
        <v/>
      </c>
    </row>
    <row r="47" ht="15" customHeight="1" s="71">
      <c r="A47" s="4" t="n"/>
      <c r="B47" s="44" t="n"/>
      <c r="C47" s="50" t="inlineStr"/>
      <c r="D47" s="50">
        <f>IF(ISERROR(VLOOKUP(C47,Key!$A$2:$B$982,2,FALSE)),"",VLOOKUP(C47,Key!$A$2:$B$982,2,FALSE))</f>
        <v/>
      </c>
      <c r="E47" s="4" t="n">
        <v>9</v>
      </c>
      <c r="F47" s="44" t="n">
        <v>20.3059127012848</v>
      </c>
      <c r="G47" s="50" t="n">
        <v>44</v>
      </c>
      <c r="H47" s="50">
        <f>IF(ISERROR(VLOOKUP(G47,Key!$A$2:$B$982,2,FALSE)),"",VLOOKUP(G47,Key!$A$2:$B$982,2,FALSE))</f>
        <v/>
      </c>
      <c r="I47" s="4" t="n">
        <v>11</v>
      </c>
      <c r="J47" s="44" t="n">
        <v>20.3059127012848</v>
      </c>
      <c r="K47" s="50" t="n">
        <v>44</v>
      </c>
      <c r="L47" s="50">
        <f>IF(ISERROR(VLOOKUP(K47,Key!$A$2:$B$982,2,FALSE)),"",VLOOKUP(K47,Key!$A$2:$B$982,2,FALSE))</f>
        <v/>
      </c>
      <c r="M47" s="4" t="n">
        <v>42</v>
      </c>
      <c r="N47" s="44">
        <f>(ROUND((M47-0.5)/233*809+0.5,0)-0.5)/809*Calculator!$AD$2</f>
        <v/>
      </c>
      <c r="O47" s="50" t="n">
        <v>42</v>
      </c>
      <c r="P47" s="50">
        <f>IF(ISERROR(VLOOKUP(O47,Key!$A$2:$B$982,2,FALSE)),"",VLOOKUP(O47,Key!$A$2:$B$982,2,FALSE))</f>
        <v/>
      </c>
    </row>
    <row r="48" ht="15" customHeight="1" s="71">
      <c r="A48" s="4" t="n"/>
      <c r="B48" s="44" t="n"/>
      <c r="C48" s="50" t="inlineStr"/>
      <c r="D48" s="50">
        <f>IF(ISERROR(VLOOKUP(C48,Key!$A$2:$B$982,2,FALSE)),"",VLOOKUP(C48,Key!$A$2:$B$982,2,FALSE))</f>
        <v/>
      </c>
      <c r="E48" s="4" t="n"/>
      <c r="F48" s="44" t="n"/>
      <c r="G48" s="50" t="inlineStr"/>
      <c r="H48" s="50">
        <f>IF(ISERROR(VLOOKUP(G48,Key!$A$2:$B$982,2,FALSE)),"",VLOOKUP(G48,Key!$A$2:$B$982,2,FALSE))</f>
        <v/>
      </c>
      <c r="I48" s="4" t="n"/>
      <c r="J48" s="44" t="n"/>
      <c r="K48" s="50" t="inlineStr"/>
      <c r="L48" s="50">
        <f>IF(ISERROR(VLOOKUP(K48,Key!$A$2:$B$982,2,FALSE)),"",VLOOKUP(K48,Key!$A$2:$B$982,2,FALSE))</f>
        <v/>
      </c>
      <c r="M48" s="4" t="n">
        <v>43</v>
      </c>
      <c r="N48" s="44">
        <f>(ROUND((M48-0.5)/233*809+0.5,0)-0.5)/809*Calculator!$AD$2</f>
        <v/>
      </c>
      <c r="O48" s="50" t="n">
        <v>43</v>
      </c>
      <c r="P48" s="50">
        <f>IF(ISERROR(VLOOKUP(O48,Key!$A$2:$B$982,2,FALSE)),"",VLOOKUP(O48,Key!$A$2:$B$982,2,FALSE))</f>
        <v/>
      </c>
    </row>
    <row r="49" ht="15" customHeight="1" s="71">
      <c r="A49" s="4" t="n"/>
      <c r="B49" s="44" t="n"/>
      <c r="C49" s="50" t="inlineStr"/>
      <c r="D49" s="50">
        <f>IF(ISERROR(VLOOKUP(C49,Key!$A$2:$B$982,2,FALSE)),"",VLOOKUP(C49,Key!$A$2:$B$982,2,FALSE))</f>
        <v/>
      </c>
      <c r="E49" s="4" t="n"/>
      <c r="F49" s="44" t="n"/>
      <c r="G49" s="50" t="inlineStr"/>
      <c r="H49" s="50">
        <f>IF(ISERROR(VLOOKUP(G49,Key!$A$2:$B$982,2,FALSE)),"",VLOOKUP(G49,Key!$A$2:$B$982,2,FALSE))</f>
        <v/>
      </c>
      <c r="I49" s="4" t="n"/>
      <c r="J49" s="44" t="n"/>
      <c r="K49" s="50" t="inlineStr"/>
      <c r="L49" s="50">
        <f>IF(ISERROR(VLOOKUP(K49,Key!$A$2:$B$982,2,FALSE)),"",VLOOKUP(K49,Key!$A$2:$B$982,2,FALSE))</f>
        <v/>
      </c>
      <c r="M49" s="4" t="n">
        <v>44</v>
      </c>
      <c r="N49" s="44">
        <f>(ROUND((M49-0.5)/233*809+0.5,0)-0.5)/809*Calculator!$AD$2</f>
        <v/>
      </c>
      <c r="O49" s="50" t="n">
        <v>44</v>
      </c>
      <c r="P49" s="50">
        <f>IF(ISERROR(VLOOKUP(O49,Key!$A$2:$B$982,2,FALSE)),"",VLOOKUP(O49,Key!$A$2:$B$982,2,FALSE))</f>
        <v/>
      </c>
    </row>
    <row r="50" ht="15" customHeight="1" s="71">
      <c r="A50" s="4" t="n"/>
      <c r="B50" s="44" t="n"/>
      <c r="C50" s="50" t="inlineStr"/>
      <c r="D50" s="50">
        <f>IF(ISERROR(VLOOKUP(C50,Key!$A$2:$B$982,2,FALSE)),"",VLOOKUP(C50,Key!$A$2:$B$982,2,FALSE))</f>
        <v/>
      </c>
      <c r="E50" s="4" t="n"/>
      <c r="F50" s="44" t="n"/>
      <c r="G50" s="50" t="inlineStr"/>
      <c r="H50" s="50">
        <f>IF(ISERROR(VLOOKUP(G50,Key!$A$2:$B$982,2,FALSE)),"",VLOOKUP(G50,Key!$A$2:$B$982,2,FALSE))</f>
        <v/>
      </c>
      <c r="I50" s="4" t="n"/>
      <c r="J50" s="44" t="n"/>
      <c r="K50" s="50" t="inlineStr"/>
      <c r="L50" s="50">
        <f>IF(ISERROR(VLOOKUP(K50,Key!$A$2:$B$982,2,FALSE)),"",VLOOKUP(K50,Key!$A$2:$B$982,2,FALSE))</f>
        <v/>
      </c>
      <c r="M50" s="4" t="n">
        <v>45</v>
      </c>
      <c r="N50" s="44">
        <f>(ROUND((M50-0.5)/233*809+0.5,0)-0.5)/809*Calculator!$AD$2</f>
        <v/>
      </c>
      <c r="O50" s="50" t="n">
        <v>45</v>
      </c>
      <c r="P50" s="50">
        <f>IF(ISERROR(VLOOKUP(O50,Key!$A$2:$B$982,2,FALSE)),"",VLOOKUP(O50,Key!$A$2:$B$982,2,FALSE))</f>
        <v/>
      </c>
    </row>
    <row r="51" ht="15" customHeight="1" s="71">
      <c r="A51" s="4" t="n"/>
      <c r="B51" s="44" t="n"/>
      <c r="C51" s="50" t="inlineStr"/>
      <c r="D51" s="50">
        <f>IF(ISERROR(VLOOKUP(C51,Key!$A$2:$B$982,2,FALSE)),"",VLOOKUP(C51,Key!$A$2:$B$982,2,FALSE))</f>
        <v/>
      </c>
      <c r="E51" s="4" t="n"/>
      <c r="F51" s="44" t="n"/>
      <c r="G51" s="50" t="inlineStr"/>
      <c r="H51" s="50">
        <f>IF(ISERROR(VLOOKUP(G51,Key!$A$2:$B$982,2,FALSE)),"",VLOOKUP(G51,Key!$A$2:$B$982,2,FALSE))</f>
        <v/>
      </c>
      <c r="I51" s="4" t="n"/>
      <c r="J51" s="44" t="n"/>
      <c r="K51" s="50" t="inlineStr"/>
      <c r="L51" s="50">
        <f>IF(ISERROR(VLOOKUP(K51,Key!$A$2:$B$982,2,FALSE)),"",VLOOKUP(K51,Key!$A$2:$B$982,2,FALSE))</f>
        <v/>
      </c>
      <c r="M51" s="4" t="n">
        <v>46</v>
      </c>
      <c r="N51" s="44">
        <f>(ROUND((M51-0.5)/233*809+0.5,0)-0.5)/809*Calculator!$AD$2</f>
        <v/>
      </c>
      <c r="O51" s="50" t="n">
        <v>46</v>
      </c>
      <c r="P51" s="50">
        <f>IF(ISERROR(VLOOKUP(O51,Key!$A$2:$B$982,2,FALSE)),"",VLOOKUP(O51,Key!$A$2:$B$982,2,FALSE))</f>
        <v/>
      </c>
    </row>
    <row r="52" ht="15" customHeight="1" s="71">
      <c r="A52" s="4" t="n"/>
      <c r="B52" s="44" t="n"/>
      <c r="C52" s="50" t="inlineStr"/>
      <c r="D52" s="50">
        <f>IF(ISERROR(VLOOKUP(C52,Key!$A$2:$B$982,2,FALSE)),"",VLOOKUP(C52,Key!$A$2:$B$982,2,FALSE))</f>
        <v/>
      </c>
      <c r="E52" s="4" t="n">
        <v>10</v>
      </c>
      <c r="F52" s="44" t="n">
        <v>22.6948436073183</v>
      </c>
      <c r="G52" s="50" t="n">
        <v>52</v>
      </c>
      <c r="H52" s="50">
        <f>IF(ISERROR(VLOOKUP(G52,Key!$A$2:$B$982,2,FALSE)),"",VLOOKUP(G52,Key!$A$2:$B$982,2,FALSE))</f>
        <v/>
      </c>
      <c r="I52" s="4" t="n">
        <v>12</v>
      </c>
      <c r="J52" s="44" t="n">
        <v>22.6948436073183</v>
      </c>
      <c r="K52" s="50" t="n">
        <v>47</v>
      </c>
      <c r="L52" s="50">
        <f>IF(ISERROR(VLOOKUP(K52,Key!$A$2:$B$982,2,FALSE)),"",VLOOKUP(K52,Key!$A$2:$B$982,2,FALSE))</f>
        <v/>
      </c>
      <c r="M52" s="4" t="n">
        <v>47</v>
      </c>
      <c r="N52" s="44">
        <f>(ROUND((M52-0.5)/233*809+0.5,0)-0.5)/809*Calculator!$AD$2</f>
        <v/>
      </c>
      <c r="O52" s="50" t="n">
        <v>47</v>
      </c>
      <c r="P52" s="50">
        <f>IF(ISERROR(VLOOKUP(O52,Key!$A$2:$B$982,2,FALSE)),"",VLOOKUP(O52,Key!$A$2:$B$982,2,FALSE))</f>
        <v/>
      </c>
    </row>
    <row r="53" ht="15" customHeight="1" s="71">
      <c r="A53" s="4" t="n"/>
      <c r="B53" s="44" t="n"/>
      <c r="C53" s="50" t="inlineStr"/>
      <c r="D53" s="50">
        <f>IF(ISERROR(VLOOKUP(C53,Key!$A$2:$B$982,2,FALSE)),"",VLOOKUP(C53,Key!$A$2:$B$982,2,FALSE))</f>
        <v/>
      </c>
      <c r="E53" s="4" t="n"/>
      <c r="F53" s="44" t="n"/>
      <c r="G53" s="50" t="inlineStr"/>
      <c r="H53" s="50">
        <f>IF(ISERROR(VLOOKUP(G53,Key!$A$2:$B$982,2,FALSE)),"",VLOOKUP(G53,Key!$A$2:$B$982,2,FALSE))</f>
        <v/>
      </c>
      <c r="I53" s="4" t="n">
        <v>12.4</v>
      </c>
      <c r="J53" s="44" t="n">
        <v>23.1164196495595</v>
      </c>
      <c r="K53" s="50" t="n">
        <v>48</v>
      </c>
      <c r="L53" s="50">
        <f>IF(ISERROR(VLOOKUP(K53,Key!$A$2:$B$982,2,FALSE)),"",VLOOKUP(K53,Key!$A$2:$B$982,2,FALSE))</f>
        <v/>
      </c>
      <c r="M53" s="4" t="n">
        <v>48</v>
      </c>
      <c r="N53" s="44">
        <f>(ROUND((M53-0.5)/233*809+0.5,0)-0.5)/809*Calculator!$AD$2</f>
        <v/>
      </c>
      <c r="O53" s="50" t="n">
        <v>48</v>
      </c>
      <c r="P53" s="50">
        <f>IF(ISERROR(VLOOKUP(O53,Key!$A$2:$B$982,2,FALSE)),"",VLOOKUP(O53,Key!$A$2:$B$982,2,FALSE))</f>
        <v/>
      </c>
    </row>
    <row r="54" ht="15" customHeight="1" s="71">
      <c r="A54" s="4" t="n"/>
      <c r="B54" s="44" t="n"/>
      <c r="C54" s="50" t="inlineStr"/>
      <c r="D54" s="50">
        <f>IF(ISERROR(VLOOKUP(C54,Key!$A$2:$B$982,2,FALSE)),"",VLOOKUP(C54,Key!$A$2:$B$982,2,FALSE))</f>
        <v/>
      </c>
      <c r="E54" s="4" t="n"/>
      <c r="F54" s="44" t="n"/>
      <c r="G54" s="50" t="inlineStr"/>
      <c r="H54" s="50">
        <f>IF(ISERROR(VLOOKUP(G54,Key!$A$2:$B$982,2,FALSE)),"",VLOOKUP(G54,Key!$A$2:$B$982,2,FALSE))</f>
        <v/>
      </c>
      <c r="I54" s="4" t="n"/>
      <c r="J54" s="44" t="n"/>
      <c r="K54" s="50" t="inlineStr"/>
      <c r="L54" s="50">
        <f>IF(ISERROR(VLOOKUP(K54,Key!$A$2:$B$982,2,FALSE)),"",VLOOKUP(K54,Key!$A$2:$B$982,2,FALSE))</f>
        <v/>
      </c>
      <c r="M54" s="46" t="n">
        <v>49</v>
      </c>
      <c r="N54" s="47">
        <f>(ROUND((M54-0.5)/233*809+0.5,0)-0.5)/809*Calculator!$AD$2</f>
        <v/>
      </c>
      <c r="O54" s="50" t="n">
        <v>49</v>
      </c>
      <c r="P54" s="50">
        <f>IF(ISERROR(VLOOKUP(O54,Key!$A$2:$B$982,2,FALSE)),"",VLOOKUP(O54,Key!$A$2:$B$982,2,FALSE))</f>
        <v/>
      </c>
    </row>
    <row r="55" ht="15" customHeight="1" s="71">
      <c r="A55" s="4" t="n"/>
      <c r="B55" s="44" t="n"/>
      <c r="C55" s="50" t="inlineStr"/>
      <c r="D55" s="50">
        <f>IF(ISERROR(VLOOKUP(C55,Key!$A$2:$B$982,2,FALSE)),"",VLOOKUP(C55,Key!$A$2:$B$982,2,FALSE))</f>
        <v/>
      </c>
      <c r="E55" s="4" t="n"/>
      <c r="F55" s="44" t="n"/>
      <c r="G55" s="50" t="inlineStr"/>
      <c r="H55" s="50">
        <f>IF(ISERROR(VLOOKUP(G55,Key!$A$2:$B$982,2,FALSE)),"",VLOOKUP(G55,Key!$A$2:$B$982,2,FALSE))</f>
        <v/>
      </c>
      <c r="I55" s="4" t="n">
        <v>13</v>
      </c>
      <c r="J55" s="44" t="n">
        <v>23.95544844875548</v>
      </c>
      <c r="K55" s="50" t="n">
        <v>52</v>
      </c>
      <c r="L55" s="50">
        <f>IF(ISERROR(VLOOKUP(K55,Key!$A$2:$B$982,2,FALSE)),"",VLOOKUP(K55,Key!$A$2:$B$982,2,FALSE))</f>
        <v/>
      </c>
      <c r="M55" s="48">
        <f>M54+(N55-N54)/P$3</f>
        <v/>
      </c>
      <c r="N55" s="49">
        <f>(Commas!E51+Commas!E52)/2</f>
        <v/>
      </c>
      <c r="O55" s="50" t="n">
        <v>50</v>
      </c>
      <c r="P55" s="50">
        <f>IF(ISERROR(VLOOKUP(O55,Key!$A$2:$B$982,2,FALSE)),"",VLOOKUP(O55,Key!$A$2:$B$982,2,FALSE))</f>
        <v/>
      </c>
    </row>
    <row r="56" ht="15" customHeight="1" s="71">
      <c r="A56" s="4" t="n"/>
      <c r="B56" s="44" t="n"/>
      <c r="C56" s="50" t="inlineStr"/>
      <c r="D56" s="50">
        <f>IF(ISERROR(VLOOKUP(C56,Key!$A$2:$B$982,2,FALSE)),"",VLOOKUP(C56,Key!$A$2:$B$982,2,FALSE))</f>
        <v/>
      </c>
      <c r="E56" s="4" t="n"/>
      <c r="F56" s="44" t="n"/>
      <c r="G56" s="50" t="inlineStr"/>
      <c r="H56" s="50">
        <f>IF(ISERROR(VLOOKUP(G56,Key!$A$2:$B$982,2,FALSE)),"",VLOOKUP(G56,Key!$A$2:$B$982,2,FALSE))</f>
        <v/>
      </c>
      <c r="I56" s="4" t="n"/>
      <c r="J56" s="44" t="n"/>
      <c r="K56" s="50" t="inlineStr"/>
      <c r="L56" s="50">
        <f>IF(ISERROR(VLOOKUP(K56,Key!$A$2:$B$982,2,FALSE)),"",VLOOKUP(K56,Key!$A$2:$B$982,2,FALSE))</f>
        <v/>
      </c>
      <c r="M56" s="4" t="n">
        <v>50</v>
      </c>
      <c r="N56" s="44">
        <f>(ROUND((M56-0.5)/233*809+0.5,0)-0.5)/809*Calculator!$AD$2</f>
        <v/>
      </c>
      <c r="O56" s="50" t="n">
        <v>51</v>
      </c>
      <c r="P56" s="50">
        <f>IF(ISERROR(VLOOKUP(O56,Key!$A$2:$B$982,2,FALSE)),"",VLOOKUP(O56,Key!$A$2:$B$982,2,FALSE))</f>
        <v/>
      </c>
    </row>
    <row r="57" ht="15" customHeight="1" s="71">
      <c r="A57" s="4" t="n">
        <v>5</v>
      </c>
      <c r="B57" s="44" t="n">
        <v>24.6621984711106</v>
      </c>
      <c r="C57" s="50" t="n">
        <v>58</v>
      </c>
      <c r="D57" s="50">
        <f>IF(ISERROR(VLOOKUP(C57,Key!$A$2:$B$982,2,FALSE)),"",VLOOKUP(C57,Key!$A$2:$B$982,2,FALSE))</f>
        <v/>
      </c>
      <c r="E57" s="4" t="n"/>
      <c r="F57" s="44" t="n"/>
      <c r="G57" s="50" t="inlineStr"/>
      <c r="H57" s="50">
        <f>IF(ISERROR(VLOOKUP(G57,Key!$A$2:$B$982,2,FALSE)),"",VLOOKUP(G57,Key!$A$2:$B$982,2,FALSE))</f>
        <v/>
      </c>
      <c r="I57" s="4" t="n"/>
      <c r="J57" s="44" t="n"/>
      <c r="K57" s="50" t="inlineStr"/>
      <c r="L57" s="50">
        <f>IF(ISERROR(VLOOKUP(K57,Key!$A$2:$B$982,2,FALSE)),"",VLOOKUP(K57,Key!$A$2:$B$982,2,FALSE))</f>
        <v/>
      </c>
      <c r="M57" s="46" t="n">
        <v>51</v>
      </c>
      <c r="N57" s="47">
        <f>(ROUND((M57-0.5)/233*809+0.5,0)-0.5)/809*Calculator!$AD$2</f>
        <v/>
      </c>
      <c r="O57" s="50" t="n">
        <v>52</v>
      </c>
      <c r="P57" s="50">
        <f>IF(ISERROR(VLOOKUP(O57,Key!$A$2:$B$982,2,FALSE)),"",VLOOKUP(O57,Key!$A$2:$B$982,2,FALSE))</f>
        <v/>
      </c>
    </row>
    <row r="58" ht="15" customHeight="1" s="71">
      <c r="A58" s="4" t="n"/>
      <c r="B58" s="44" t="n"/>
      <c r="C58" s="50" t="inlineStr"/>
      <c r="D58" s="50">
        <f>IF(ISERROR(VLOOKUP(C58,Key!$A$2:$B$982,2,FALSE)),"",VLOOKUP(C58,Key!$A$2:$B$982,2,FALSE))</f>
        <v/>
      </c>
      <c r="E58" s="4" t="n"/>
      <c r="F58" s="44" t="n"/>
      <c r="G58" s="50" t="inlineStr"/>
      <c r="H58" s="50">
        <f>IF(ISERROR(VLOOKUP(G58,Key!$A$2:$B$982,2,FALSE)),"",VLOOKUP(G58,Key!$A$2:$B$982,2,FALSE))</f>
        <v/>
      </c>
      <c r="I58" s="4" t="n">
        <v>13.5</v>
      </c>
      <c r="J58" s="44" t="n">
        <v>24.88598158569552</v>
      </c>
      <c r="K58" s="50" t="n">
        <v>54</v>
      </c>
      <c r="L58" s="50">
        <f>IF(ISERROR(VLOOKUP(K58,Key!$A$2:$B$982,2,FALSE)),"",VLOOKUP(K58,Key!$A$2:$B$982,2,FALSE))</f>
        <v/>
      </c>
      <c r="M58" s="48">
        <f>M57+(N58-N57)/P$3</f>
        <v/>
      </c>
      <c r="N58" s="49">
        <f>(Commas!E54+Commas!E55)/2</f>
        <v/>
      </c>
      <c r="O58" s="50" t="n">
        <v>53</v>
      </c>
      <c r="P58" s="50">
        <f>IF(ISERROR(VLOOKUP(O58,Key!$A$2:$B$982,2,FALSE)),"",VLOOKUP(O58,Key!$A$2:$B$982,2,FALSE))</f>
        <v/>
      </c>
    </row>
    <row r="59" ht="15" customHeight="1" s="71">
      <c r="A59" s="4" t="n"/>
      <c r="B59" s="44" t="n"/>
      <c r="C59" s="50" t="inlineStr"/>
      <c r="D59" s="50">
        <f>IF(ISERROR(VLOOKUP(C59,Key!$A$2:$B$982,2,FALSE)),"",VLOOKUP(C59,Key!$A$2:$B$982,2,FALSE))</f>
        <v/>
      </c>
      <c r="E59" s="4" t="n"/>
      <c r="F59" s="44" t="n"/>
      <c r="G59" s="50" t="inlineStr"/>
      <c r="H59" s="50">
        <f>IF(ISERROR(VLOOKUP(G59,Key!$A$2:$B$982,2,FALSE)),"",VLOOKUP(G59,Key!$A$2:$B$982,2,FALSE))</f>
        <v/>
      </c>
      <c r="I59" s="4" t="n"/>
      <c r="J59" s="44" t="n"/>
      <c r="K59" s="50" t="inlineStr"/>
      <c r="L59" s="50">
        <f>IF(ISERROR(VLOOKUP(K59,Key!$A$2:$B$982,2,FALSE)),"",VLOOKUP(K59,Key!$A$2:$B$982,2,FALSE))</f>
        <v/>
      </c>
      <c r="M59" s="4" t="n">
        <v>52</v>
      </c>
      <c r="N59" s="44">
        <f>(ROUND((M59-0.5)/233*809+0.5,0)-0.5)/809*Calculator!$AD$2</f>
        <v/>
      </c>
      <c r="O59" s="50" t="n">
        <v>54</v>
      </c>
      <c r="P59" s="50">
        <f>IF(ISERROR(VLOOKUP(O59,Key!$A$2:$B$982,2,FALSE)),"",VLOOKUP(O59,Key!$A$2:$B$982,2,FALSE))</f>
        <v/>
      </c>
    </row>
    <row r="60" ht="15" customHeight="1" s="71">
      <c r="A60" s="4" t="n"/>
      <c r="B60" s="44" t="n"/>
      <c r="C60" s="50" t="inlineStr"/>
      <c r="D60" s="50">
        <f>IF(ISERROR(VLOOKUP(C60,Key!$A$2:$B$982,2,FALSE)),"",VLOOKUP(C60,Key!$A$2:$B$982,2,FALSE))</f>
        <v/>
      </c>
      <c r="E60" s="4" t="n"/>
      <c r="F60" s="44" t="n"/>
      <c r="G60" s="50" t="inlineStr"/>
      <c r="H60" s="50">
        <f>IF(ISERROR(VLOOKUP(G60,Key!$A$2:$B$982,2,FALSE)),"",VLOOKUP(G60,Key!$A$2:$B$982,2,FALSE))</f>
        <v/>
      </c>
      <c r="I60" s="4" t="n"/>
      <c r="J60" s="44" t="n"/>
      <c r="K60" s="50" t="inlineStr"/>
      <c r="L60" s="50">
        <f>IF(ISERROR(VLOOKUP(K60,Key!$A$2:$B$982,2,FALSE)),"",VLOOKUP(K60,Key!$A$2:$B$982,2,FALSE))</f>
        <v/>
      </c>
      <c r="M60" s="4" t="n">
        <v>53</v>
      </c>
      <c r="N60" s="44">
        <f>(ROUND((M60-0.5)/233*809+0.5,0)-0.5)/809*Calculator!$AD$2</f>
        <v/>
      </c>
      <c r="O60" s="50" t="n">
        <v>55</v>
      </c>
      <c r="P60" s="50">
        <f>IF(ISERROR(VLOOKUP(O60,Key!$A$2:$B$982,2,FALSE)),"",VLOOKUP(O60,Key!$A$2:$B$982,2,FALSE))</f>
        <v/>
      </c>
    </row>
    <row r="61" ht="15" customHeight="1" s="71">
      <c r="A61" s="4" t="n"/>
      <c r="B61" s="44" t="n"/>
      <c r="C61" s="50" t="inlineStr"/>
      <c r="D61" s="50">
        <f>IF(ISERROR(VLOOKUP(C61,Key!$A$2:$B$982,2,FALSE)),"",VLOOKUP(C61,Key!$A$2:$B$982,2,FALSE))</f>
        <v/>
      </c>
      <c r="E61" s="4" t="n">
        <v>11</v>
      </c>
      <c r="F61" s="44" t="n">
        <v>26.0674519452479</v>
      </c>
      <c r="G61" s="50" t="n">
        <v>58</v>
      </c>
      <c r="H61" s="50">
        <f>IF(ISERROR(VLOOKUP(G61,Key!$A$2:$B$982,2,FALSE)),"",VLOOKUP(G61,Key!$A$2:$B$982,2,FALSE))</f>
        <v/>
      </c>
      <c r="I61" s="4" t="n">
        <v>14</v>
      </c>
      <c r="J61" s="44" t="n">
        <v>26.0674519452479</v>
      </c>
      <c r="K61" s="50" t="n">
        <v>58</v>
      </c>
      <c r="L61" s="50">
        <f>IF(ISERROR(VLOOKUP(K61,Key!$A$2:$B$982,2,FALSE)),"",VLOOKUP(K61,Key!$A$2:$B$982,2,FALSE))</f>
        <v/>
      </c>
      <c r="M61" s="4" t="n">
        <v>54</v>
      </c>
      <c r="N61" s="44">
        <f>(ROUND((M61-0.5)/233*809+0.5,0)-0.5)/809*Calculator!$AD$2</f>
        <v/>
      </c>
      <c r="O61" s="50" t="n">
        <v>56</v>
      </c>
      <c r="P61" s="50">
        <f>IF(ISERROR(VLOOKUP(O61,Key!$A$2:$B$982,2,FALSE)),"",VLOOKUP(O61,Key!$A$2:$B$982,2,FALSE))</f>
        <v/>
      </c>
    </row>
    <row r="62" ht="15" customHeight="1" s="71">
      <c r="A62" s="4" t="n"/>
      <c r="B62" s="44" t="n"/>
      <c r="C62" s="50" t="inlineStr"/>
      <c r="D62" s="50">
        <f>IF(ISERROR(VLOOKUP(C62,Key!$A$2:$B$982,2,FALSE)),"",VLOOKUP(C62,Key!$A$2:$B$982,2,FALSE))</f>
        <v/>
      </c>
      <c r="E62" s="4" t="n"/>
      <c r="F62" s="44" t="n"/>
      <c r="G62" s="50" t="inlineStr"/>
      <c r="H62" s="50">
        <f>IF(ISERROR(VLOOKUP(G62,Key!$A$2:$B$982,2,FALSE)),"",VLOOKUP(G62,Key!$A$2:$B$982,2,FALSE))</f>
        <v/>
      </c>
      <c r="I62" s="4" t="n"/>
      <c r="J62" s="44" t="n"/>
      <c r="K62" s="50" t="inlineStr"/>
      <c r="L62" s="50">
        <f>IF(ISERROR(VLOOKUP(K62,Key!$A$2:$B$982,2,FALSE)),"",VLOOKUP(K62,Key!$A$2:$B$982,2,FALSE))</f>
        <v/>
      </c>
      <c r="M62" s="4" t="n">
        <v>55</v>
      </c>
      <c r="N62" s="44">
        <f>(ROUND((M62-0.5)/233*809+0.5,0)-0.5)/809*Calculator!$AD$2</f>
        <v/>
      </c>
      <c r="O62" s="50" t="n">
        <v>57</v>
      </c>
      <c r="P62" s="50">
        <f>IF(ISERROR(VLOOKUP(O62,Key!$A$2:$B$982,2,FALSE)),"",VLOOKUP(O62,Key!$A$2:$B$982,2,FALSE))</f>
        <v/>
      </c>
    </row>
    <row r="63" ht="15" customHeight="1" s="71">
      <c r="A63" s="4" t="n"/>
      <c r="B63" s="44" t="n"/>
      <c r="C63" s="50" t="inlineStr"/>
      <c r="D63" s="50">
        <f>IF(ISERROR(VLOOKUP(C63,Key!$A$2:$B$982,2,FALSE)),"",VLOOKUP(C63,Key!$A$2:$B$982,2,FALSE))</f>
        <v/>
      </c>
      <c r="E63" s="4" t="n"/>
      <c r="F63" s="44" t="n"/>
      <c r="G63" s="50" t="inlineStr"/>
      <c r="H63" s="50">
        <f>IF(ISERROR(VLOOKUP(G63,Key!$A$2:$B$982,2,FALSE)),"",VLOOKUP(G63,Key!$A$2:$B$982,2,FALSE))</f>
        <v/>
      </c>
      <c r="I63" s="4" t="n"/>
      <c r="J63" s="44" t="n"/>
      <c r="K63" s="50" t="inlineStr"/>
      <c r="L63" s="50">
        <f>IF(ISERROR(VLOOKUP(K63,Key!$A$2:$B$982,2,FALSE)),"",VLOOKUP(K63,Key!$A$2:$B$982,2,FALSE))</f>
        <v/>
      </c>
      <c r="M63" s="4" t="n">
        <v>56</v>
      </c>
      <c r="N63" s="44">
        <f>(ROUND((M63-0.5)/233*809+0.5,0)-0.5)/809*Calculator!$AD$2</f>
        <v/>
      </c>
      <c r="O63" s="50" t="n">
        <v>58</v>
      </c>
      <c r="P63" s="50">
        <f>IF(ISERROR(VLOOKUP(O63,Key!$A$2:$B$982,2,FALSE)),"",VLOOKUP(O63,Key!$A$2:$B$982,2,FALSE))</f>
        <v/>
      </c>
    </row>
    <row r="64" ht="15.75" customHeight="1" s="71">
      <c r="A64" s="4" t="n"/>
      <c r="B64" s="44" t="n"/>
      <c r="C64" s="50" t="inlineStr"/>
      <c r="D64" s="50">
        <f>IF(ISERROR(VLOOKUP(C64,Key!$A$2:$B$982,2,FALSE)),"",VLOOKUP(C64,Key!$A$2:$B$982,2,FALSE))</f>
        <v/>
      </c>
      <c r="E64" s="4" t="n"/>
      <c r="F64" s="44" t="n"/>
      <c r="G64" s="50" t="inlineStr"/>
      <c r="H64" s="50">
        <f>IF(ISERROR(VLOOKUP(G64,Key!$A$2:$B$982,2,FALSE)),"",VLOOKUP(G64,Key!$A$2:$B$982,2,FALSE))</f>
        <v/>
      </c>
      <c r="I64" s="4" t="n"/>
      <c r="J64" s="44" t="n"/>
      <c r="K64" s="50" t="inlineStr"/>
      <c r="L64" s="50">
        <f>IF(ISERROR(VLOOKUP(K64,Key!$A$2:$B$982,2,FALSE)),"",VLOOKUP(K64,Key!$A$2:$B$982,2,FALSE))</f>
        <v/>
      </c>
      <c r="M64" s="4" t="n">
        <v>57</v>
      </c>
      <c r="N64" s="44">
        <f>(ROUND((M64-0.5)/233*809+0.5,0)-0.5)/809*Calculator!$AD$2</f>
        <v/>
      </c>
      <c r="O64" s="50" t="n">
        <v>59</v>
      </c>
      <c r="P64" s="50">
        <f>IF(ISERROR(VLOOKUP(O64,Key!$A$2:$B$982,2,FALSE)),"",VLOOKUP(O64,Key!$A$2:$B$982,2,FALSE))</f>
        <v/>
      </c>
    </row>
    <row r="65" ht="15.75" customHeight="1" s="71">
      <c r="A65" s="4" t="n"/>
      <c r="B65" s="44" t="n"/>
      <c r="C65" s="50" t="inlineStr"/>
      <c r="D65" s="50">
        <f>IF(ISERROR(VLOOKUP(C65,Key!$A$2:$B$982,2,FALSE)),"",VLOOKUP(C65,Key!$A$2:$B$982,2,FALSE))</f>
        <v/>
      </c>
      <c r="E65" s="4" t="n"/>
      <c r="F65" s="44" t="n"/>
      <c r="G65" s="50" t="inlineStr"/>
      <c r="H65" s="50">
        <f>IF(ISERROR(VLOOKUP(G65,Key!$A$2:$B$982,2,FALSE)),"",VLOOKUP(G65,Key!$A$2:$B$982,2,FALSE))</f>
        <v/>
      </c>
      <c r="I65" s="4" t="n"/>
      <c r="J65" s="44" t="n"/>
      <c r="K65" s="50" t="inlineStr"/>
      <c r="L65" s="50">
        <f>IF(ISERROR(VLOOKUP(K65,Key!$A$2:$B$982,2,FALSE)),"",VLOOKUP(K65,Key!$A$2:$B$982,2,FALSE))</f>
        <v/>
      </c>
      <c r="M65" s="4" t="n">
        <v>58</v>
      </c>
      <c r="N65" s="44">
        <f>(ROUND((M65-0.5)/233*809+0.5,0)-0.5)/809*Calculator!$AD$2</f>
        <v/>
      </c>
      <c r="O65" s="50" t="n">
        <v>60</v>
      </c>
      <c r="P65" s="50">
        <f>IF(ISERROR(VLOOKUP(O65,Key!$A$2:$B$982,2,FALSE)),"",VLOOKUP(O65,Key!$A$2:$B$982,2,FALSE))</f>
        <v/>
      </c>
    </row>
    <row r="66" ht="15.75" customHeight="1" s="71">
      <c r="A66" s="4" t="n"/>
      <c r="B66" s="44" t="n"/>
      <c r="C66" s="50" t="inlineStr"/>
      <c r="D66" s="50">
        <f>IF(ISERROR(VLOOKUP(C66,Key!$A$2:$B$982,2,FALSE)),"",VLOOKUP(C66,Key!$A$2:$B$982,2,FALSE))</f>
        <v/>
      </c>
      <c r="E66" s="4" t="n">
        <v>12</v>
      </c>
      <c r="F66" s="44" t="n">
        <v>28.5969081986951</v>
      </c>
      <c r="G66" s="50" t="n">
        <v>65</v>
      </c>
      <c r="H66" s="50">
        <f>IF(ISERROR(VLOOKUP(G66,Key!$A$2:$B$982,2,FALSE)),"",VLOOKUP(G66,Key!$A$2:$B$982,2,FALSE))</f>
        <v/>
      </c>
      <c r="I66" s="4" t="n">
        <v>15</v>
      </c>
      <c r="J66" s="44" t="n">
        <v>28.5969081986951</v>
      </c>
      <c r="K66" s="50" t="n">
        <v>62</v>
      </c>
      <c r="L66" s="50">
        <f>IF(ISERROR(VLOOKUP(K66,Key!$A$2:$B$982,2,FALSE)),"",VLOOKUP(K66,Key!$A$2:$B$982,2,FALSE))</f>
        <v/>
      </c>
      <c r="M66" s="4" t="n">
        <v>59</v>
      </c>
      <c r="N66" s="44">
        <f>(ROUND((M66-0.5)/233*809+0.5,0)-0.5)/809*Calculator!$AD$2</f>
        <v/>
      </c>
      <c r="O66" s="50" t="n">
        <v>61</v>
      </c>
      <c r="P66" s="50">
        <f>IF(ISERROR(VLOOKUP(O66,Key!$A$2:$B$982,2,FALSE)),"",VLOOKUP(O66,Key!$A$2:$B$982,2,FALSE))</f>
        <v/>
      </c>
    </row>
    <row r="67" ht="15.75" customHeight="1" s="71">
      <c r="A67" s="4" t="n"/>
      <c r="B67" s="44" t="n"/>
      <c r="C67" s="50" t="inlineStr"/>
      <c r="D67" s="50">
        <f>IF(ISERROR(VLOOKUP(C67,Key!$A$2:$B$982,2,FALSE)),"",VLOOKUP(C67,Key!$A$2:$B$982,2,FALSE))</f>
        <v/>
      </c>
      <c r="E67" s="4" t="n"/>
      <c r="F67" s="44" t="n"/>
      <c r="G67" s="50" t="inlineStr"/>
      <c r="H67" s="50">
        <f>IF(ISERROR(VLOOKUP(G67,Key!$A$2:$B$982,2,FALSE)),"",VLOOKUP(G67,Key!$A$2:$B$982,2,FALSE))</f>
        <v/>
      </c>
      <c r="I67" s="4" t="n"/>
      <c r="J67" s="44" t="n"/>
      <c r="K67" s="50" t="inlineStr"/>
      <c r="L67" s="50">
        <f>IF(ISERROR(VLOOKUP(K67,Key!$A$2:$B$982,2,FALSE)),"",VLOOKUP(K67,Key!$A$2:$B$982,2,FALSE))</f>
        <v/>
      </c>
      <c r="M67" s="4" t="n">
        <v>60</v>
      </c>
      <c r="N67" s="44">
        <f>(ROUND((M67-0.5)/233*809+0.5,0)-0.5)/809*Calculator!$AD$2</f>
        <v/>
      </c>
      <c r="O67" s="50" t="n">
        <v>62</v>
      </c>
      <c r="P67" s="50">
        <f>IF(ISERROR(VLOOKUP(O67,Key!$A$2:$B$982,2,FALSE)),"",VLOOKUP(O67,Key!$A$2:$B$982,2,FALSE))</f>
        <v/>
      </c>
    </row>
    <row r="68" ht="15.75" customHeight="1" s="71">
      <c r="A68" s="4" t="n"/>
      <c r="B68" s="44" t="n"/>
      <c r="C68" s="50" t="inlineStr"/>
      <c r="D68" s="50">
        <f>IF(ISERROR(VLOOKUP(C68,Key!$A$2:$B$982,2,FALSE)),"",VLOOKUP(C68,Key!$A$2:$B$982,2,FALSE))</f>
        <v/>
      </c>
      <c r="E68" s="4" t="n"/>
      <c r="F68" s="44" t="n"/>
      <c r="G68" s="50" t="inlineStr"/>
      <c r="H68" s="50">
        <f>IF(ISERROR(VLOOKUP(G68,Key!$A$2:$B$982,2,FALSE)),"",VLOOKUP(G68,Key!$A$2:$B$982,2,FALSE))</f>
        <v/>
      </c>
      <c r="I68" s="4" t="n"/>
      <c r="J68" s="44" t="n"/>
      <c r="K68" s="50" t="inlineStr"/>
      <c r="L68" s="50">
        <f>IF(ISERROR(VLOOKUP(K68,Key!$A$2:$B$982,2,FALSE)),"",VLOOKUP(K68,Key!$A$2:$B$982,2,FALSE))</f>
        <v/>
      </c>
      <c r="M68" s="4" t="n">
        <v>61</v>
      </c>
      <c r="N68" s="44">
        <f>(ROUND((M68-0.5)/233*809+0.5,0)-0.5)/809*Calculator!$AD$2</f>
        <v/>
      </c>
      <c r="O68" s="50" t="n">
        <v>63</v>
      </c>
      <c r="P68" s="50">
        <f>IF(ISERROR(VLOOKUP(O68,Key!$A$2:$B$982,2,FALSE)),"",VLOOKUP(O68,Key!$A$2:$B$982,2,FALSE))</f>
        <v/>
      </c>
    </row>
    <row r="69" ht="15.75" customHeight="1" s="71">
      <c r="A69" s="4" t="n">
        <v>6</v>
      </c>
      <c r="B69" s="44" t="n">
        <v>30.0021616728325</v>
      </c>
      <c r="C69" s="50" t="n">
        <v>70</v>
      </c>
      <c r="D69" s="50">
        <f>IF(ISERROR(VLOOKUP(C69,Key!$A$2:$B$982,2,FALSE)),"",VLOOKUP(C69,Key!$A$2:$B$982,2,FALSE))</f>
        <v/>
      </c>
      <c r="E69" s="4" t="n"/>
      <c r="F69" s="44" t="n"/>
      <c r="G69" s="50" t="inlineStr"/>
      <c r="H69" s="50">
        <f>IF(ISERROR(VLOOKUP(G69,Key!$A$2:$B$982,2,FALSE)),"",VLOOKUP(G69,Key!$A$2:$B$982,2,FALSE))</f>
        <v/>
      </c>
      <c r="I69" s="4" t="n">
        <v>16</v>
      </c>
      <c r="J69" s="44" t="n">
        <v>30.0021616728325</v>
      </c>
      <c r="K69" s="50" t="n">
        <v>65</v>
      </c>
      <c r="L69" s="50">
        <f>IF(ISERROR(VLOOKUP(K69,Key!$A$2:$B$982,2,FALSE)),"",VLOOKUP(K69,Key!$A$2:$B$982,2,FALSE))</f>
        <v/>
      </c>
      <c r="M69" s="4" t="n">
        <v>62</v>
      </c>
      <c r="N69" s="44">
        <f>(ROUND((M69-0.5)/233*809+0.5,0)-0.5)/809*Calculator!$AD$2</f>
        <v/>
      </c>
      <c r="O69" s="50" t="n">
        <v>64</v>
      </c>
      <c r="P69" s="50">
        <f>IF(ISERROR(VLOOKUP(O69,Key!$A$2:$B$982,2,FALSE)),"",VLOOKUP(O69,Key!$A$2:$B$982,2,FALSE))</f>
        <v/>
      </c>
    </row>
    <row r="70" ht="15.75" customHeight="1" s="71">
      <c r="A70" s="4" t="n"/>
      <c r="B70" s="44" t="n"/>
      <c r="C70" s="50" t="inlineStr"/>
      <c r="D70" s="50">
        <f>IF(ISERROR(VLOOKUP(C70,Key!$A$2:$B$982,2,FALSE)),"",VLOOKUP(C70,Key!$A$2:$B$982,2,FALSE))</f>
        <v/>
      </c>
      <c r="E70" s="4" t="n"/>
      <c r="F70" s="44" t="n"/>
      <c r="G70" s="50" t="inlineStr"/>
      <c r="H70" s="50">
        <f>IF(ISERROR(VLOOKUP(G70,Key!$A$2:$B$982,2,FALSE)),"",VLOOKUP(G70,Key!$A$2:$B$982,2,FALSE))</f>
        <v/>
      </c>
      <c r="I70" s="4" t="n"/>
      <c r="J70" s="44" t="n"/>
      <c r="K70" s="50" t="inlineStr"/>
      <c r="L70" s="50">
        <f>IF(ISERROR(VLOOKUP(K70,Key!$A$2:$B$982,2,FALSE)),"",VLOOKUP(K70,Key!$A$2:$B$982,2,FALSE))</f>
        <v/>
      </c>
      <c r="M70" s="4" t="n">
        <v>63</v>
      </c>
      <c r="N70" s="44">
        <f>(ROUND((M70-0.5)/233*809+0.5,0)-0.5)/809*Calculator!$AD$2</f>
        <v/>
      </c>
      <c r="O70" s="50" t="n">
        <v>65</v>
      </c>
      <c r="P70" s="50">
        <f>IF(ISERROR(VLOOKUP(O70,Key!$A$2:$B$982,2,FALSE)),"",VLOOKUP(O70,Key!$A$2:$B$982,2,FALSE))</f>
        <v/>
      </c>
    </row>
    <row r="71" ht="15.75" customHeight="1" s="71">
      <c r="A71" s="4" t="n"/>
      <c r="B71" s="44" t="n"/>
      <c r="C71" s="50" t="inlineStr"/>
      <c r="D71" s="50">
        <f>IF(ISERROR(VLOOKUP(C71,Key!$A$2:$B$982,2,FALSE)),"",VLOOKUP(C71,Key!$A$2:$B$982,2,FALSE))</f>
        <v/>
      </c>
      <c r="E71" s="4" t="n">
        <v>13</v>
      </c>
      <c r="F71" s="44" t="n">
        <v>30.9858391047286</v>
      </c>
      <c r="G71" s="50" t="n">
        <v>67</v>
      </c>
      <c r="H71" s="50">
        <f>IF(ISERROR(VLOOKUP(G71,Key!$A$2:$B$982,2,FALSE)),"",VLOOKUP(G71,Key!$A$2:$B$982,2,FALSE))</f>
        <v/>
      </c>
      <c r="I71" s="4" t="n">
        <v>16.4</v>
      </c>
      <c r="J71" s="44" t="n">
        <v>30.9858391047286</v>
      </c>
      <c r="K71" s="50" t="n">
        <v>66</v>
      </c>
      <c r="L71" s="50">
        <f>IF(ISERROR(VLOOKUP(K71,Key!$A$2:$B$982,2,FALSE)),"",VLOOKUP(K71,Key!$A$2:$B$982,2,FALSE))</f>
        <v/>
      </c>
      <c r="M71" s="4" t="n">
        <v>64</v>
      </c>
      <c r="N71" s="44">
        <f>(ROUND((M71-0.5)/233*809+0.5,0)-0.5)/809*Calculator!$AD$2</f>
        <v/>
      </c>
      <c r="O71" s="50" t="n">
        <v>66</v>
      </c>
      <c r="P71" s="50">
        <f>IF(ISERROR(VLOOKUP(O71,Key!$A$2:$B$982,2,FALSE)),"",VLOOKUP(O71,Key!$A$2:$B$982,2,FALSE))</f>
        <v/>
      </c>
    </row>
    <row r="72" ht="15.75" customHeight="1" s="71">
      <c r="A72" s="4" t="n"/>
      <c r="B72" s="44" t="n"/>
      <c r="C72" s="50" t="inlineStr"/>
      <c r="D72" s="50">
        <f>IF(ISERROR(VLOOKUP(C72,Key!$A$2:$B$982,2,FALSE)),"",VLOOKUP(C72,Key!$A$2:$B$982,2,FALSE))</f>
        <v/>
      </c>
      <c r="E72" s="4" t="n"/>
      <c r="F72" s="44" t="n"/>
      <c r="G72" s="50" t="inlineStr"/>
      <c r="H72" s="50">
        <f>IF(ISERROR(VLOOKUP(G72,Key!$A$2:$B$982,2,FALSE)),"",VLOOKUP(G72,Key!$A$2:$B$982,2,FALSE))</f>
        <v/>
      </c>
      <c r="I72" s="4" t="n">
        <v>16.6</v>
      </c>
      <c r="J72" s="44" t="n">
        <v>31.4074151469699</v>
      </c>
      <c r="K72" s="50" t="n">
        <v>67</v>
      </c>
      <c r="L72" s="50">
        <f>IF(ISERROR(VLOOKUP(K72,Key!$A$2:$B$982,2,FALSE)),"",VLOOKUP(K72,Key!$A$2:$B$982,2,FALSE))</f>
        <v/>
      </c>
      <c r="M72" s="4" t="n">
        <v>65</v>
      </c>
      <c r="N72" s="44">
        <f>(ROUND((M72-0.5)/233*809+0.5,0)-0.5)/809*Calculator!$AD$2</f>
        <v/>
      </c>
      <c r="O72" s="50" t="n">
        <v>67</v>
      </c>
      <c r="P72" s="50">
        <f>IF(ISERROR(VLOOKUP(O72,Key!$A$2:$B$982,2,FALSE)),"",VLOOKUP(O72,Key!$A$2:$B$982,2,FALSE))</f>
        <v/>
      </c>
    </row>
    <row r="73" ht="15.75" customHeight="1" s="71">
      <c r="A73" s="4" t="n"/>
      <c r="B73" s="44" t="n"/>
      <c r="C73" s="50" t="inlineStr"/>
      <c r="D73" s="50">
        <f>IF(ISERROR(VLOOKUP(C73,Key!$A$2:$B$982,2,FALSE)),"",VLOOKUP(C73,Key!$A$2:$B$982,2,FALSE))</f>
        <v/>
      </c>
      <c r="E73" s="4" t="n"/>
      <c r="F73" s="44" t="n"/>
      <c r="G73" s="50" t="inlineStr"/>
      <c r="H73" s="50">
        <f>IF(ISERROR(VLOOKUP(G73,Key!$A$2:$B$982,2,FALSE)),"",VLOOKUP(G73,Key!$A$2:$B$982,2,FALSE))</f>
        <v/>
      </c>
      <c r="I73" s="4" t="n"/>
      <c r="J73" s="44" t="n"/>
      <c r="K73" s="50" t="inlineStr"/>
      <c r="L73" s="50">
        <f>IF(ISERROR(VLOOKUP(K73,Key!$A$2:$B$982,2,FALSE)),"",VLOOKUP(K73,Key!$A$2:$B$982,2,FALSE))</f>
        <v/>
      </c>
      <c r="M73" s="4" t="n">
        <v>66</v>
      </c>
      <c r="N73" s="44">
        <f>(ROUND((M73-0.5)/233*809+0.5,0)-0.5)/809*Calculator!$AD$2</f>
        <v/>
      </c>
      <c r="O73" s="50" t="n">
        <v>68</v>
      </c>
      <c r="P73" s="50">
        <f>IF(ISERROR(VLOOKUP(O73,Key!$A$2:$B$982,2,FALSE)),"",VLOOKUP(O73,Key!$A$2:$B$982,2,FALSE))</f>
        <v/>
      </c>
    </row>
    <row r="74" ht="15.75" customHeight="1" s="71">
      <c r="A74" s="4" t="n"/>
      <c r="B74" s="44" t="n"/>
      <c r="C74" s="50" t="inlineStr"/>
      <c r="D74" s="50">
        <f>IF(ISERROR(VLOOKUP(C74,Key!$A$2:$B$982,2,FALSE)),"",VLOOKUP(C74,Key!$A$2:$B$982,2,FALSE))</f>
        <v/>
      </c>
      <c r="E74" s="4" t="n">
        <v>14</v>
      </c>
      <c r="F74" s="44" t="n">
        <v>32.391092578866</v>
      </c>
      <c r="G74" s="50" t="n">
        <v>70</v>
      </c>
      <c r="H74" s="50">
        <f>IF(ISERROR(VLOOKUP(G74,Key!$A$2:$B$982,2,FALSE)),"",VLOOKUP(G74,Key!$A$2:$B$982,2,FALSE))</f>
        <v/>
      </c>
      <c r="I74" s="4" t="n">
        <v>17</v>
      </c>
      <c r="J74" s="44" t="n">
        <v>32.391092578866</v>
      </c>
      <c r="K74" s="50" t="n">
        <v>70</v>
      </c>
      <c r="L74" s="50">
        <f>IF(ISERROR(VLOOKUP(K74,Key!$A$2:$B$982,2,FALSE)),"",VLOOKUP(K74,Key!$A$2:$B$982,2,FALSE))</f>
        <v/>
      </c>
      <c r="M74" s="4" t="n">
        <v>67</v>
      </c>
      <c r="N74" s="44">
        <f>(ROUND((M74-0.5)/233*809+0.5,0)-0.5)/809*Calculator!$AD$2</f>
        <v/>
      </c>
      <c r="O74" s="50" t="n">
        <v>69</v>
      </c>
      <c r="P74" s="50">
        <f>IF(ISERROR(VLOOKUP(O74,Key!$A$2:$B$982,2,FALSE)),"",VLOOKUP(O74,Key!$A$2:$B$982,2,FALSE))</f>
        <v/>
      </c>
    </row>
    <row r="75" ht="15.75" customHeight="1" s="71">
      <c r="A75" s="4" t="n"/>
      <c r="B75" s="44" t="n"/>
      <c r="C75" s="50" t="inlineStr"/>
      <c r="D75" s="50">
        <f>IF(ISERROR(VLOOKUP(C75,Key!$A$2:$B$982,2,FALSE)),"",VLOOKUP(C75,Key!$A$2:$B$982,2,FALSE))</f>
        <v/>
      </c>
      <c r="E75" s="4" t="n"/>
      <c r="F75" s="44" t="n"/>
      <c r="G75" s="50" t="inlineStr"/>
      <c r="H75" s="50">
        <f>IF(ISERROR(VLOOKUP(G75,Key!$A$2:$B$982,2,FALSE)),"",VLOOKUP(G75,Key!$A$2:$B$982,2,FALSE))</f>
        <v/>
      </c>
      <c r="I75" s="4" t="n"/>
      <c r="J75" s="44" t="n"/>
      <c r="K75" s="50" t="inlineStr"/>
      <c r="L75" s="50">
        <f>IF(ISERROR(VLOOKUP(K75,Key!$A$2:$B$982,2,FALSE)),"",VLOOKUP(K75,Key!$A$2:$B$982,2,FALSE))</f>
        <v/>
      </c>
      <c r="M75" s="4" t="n">
        <v>68</v>
      </c>
      <c r="N75" s="44">
        <f>(ROUND((M75-0.5)/233*809+0.5,0)-0.5)/809*Calculator!$AD$2</f>
        <v/>
      </c>
      <c r="O75" s="50" t="n">
        <v>70</v>
      </c>
      <c r="P75" s="50">
        <f>IF(ISERROR(VLOOKUP(O75,Key!$A$2:$B$982,2,FALSE)),"",VLOOKUP(O75,Key!$A$2:$B$982,2,FALSE))</f>
        <v/>
      </c>
    </row>
    <row r="76" ht="15.75" customHeight="1" s="71">
      <c r="A76" s="4" t="n"/>
      <c r="B76" s="44" t="n"/>
      <c r="C76" s="50" t="inlineStr"/>
      <c r="D76" s="50">
        <f>IF(ISERROR(VLOOKUP(C76,Key!$A$2:$B$982,2,FALSE)),"",VLOOKUP(C76,Key!$A$2:$B$982,2,FALSE))</f>
        <v/>
      </c>
      <c r="E76" s="4" t="n"/>
      <c r="F76" s="44" t="n"/>
      <c r="G76" s="50" t="inlineStr"/>
      <c r="H76" s="50">
        <f>IF(ISERROR(VLOOKUP(G76,Key!$A$2:$B$982,2,FALSE)),"",VLOOKUP(G76,Key!$A$2:$B$982,2,FALSE))</f>
        <v/>
      </c>
      <c r="I76" s="4" t="n"/>
      <c r="J76" s="44" t="n"/>
      <c r="K76" s="50" t="inlineStr"/>
      <c r="L76" s="50">
        <f>IF(ISERROR(VLOOKUP(K76,Key!$A$2:$B$982,2,FALSE)),"",VLOOKUP(K76,Key!$A$2:$B$982,2,FALSE))</f>
        <v/>
      </c>
      <c r="M76" s="4" t="n">
        <v>69</v>
      </c>
      <c r="N76" s="44">
        <f>(ROUND((M76-0.5)/233*809+0.5,0)-0.5)/809*Calculator!$AD$2</f>
        <v/>
      </c>
      <c r="O76" s="50" t="n">
        <v>71</v>
      </c>
      <c r="P76" s="50">
        <f>IF(ISERROR(VLOOKUP(O76,Key!$A$2:$B$982,2,FALSE)),"",VLOOKUP(O76,Key!$A$2:$B$982,2,FALSE))</f>
        <v/>
      </c>
    </row>
    <row r="77" ht="15.75" customHeight="1" s="71">
      <c r="A77" s="4" t="n"/>
      <c r="B77" s="44" t="n"/>
      <c r="C77" s="50" t="inlineStr"/>
      <c r="D77" s="50">
        <f>IF(ISERROR(VLOOKUP(C77,Key!$A$2:$B$982,2,FALSE)),"",VLOOKUP(C77,Key!$A$2:$B$982,2,FALSE))</f>
        <v/>
      </c>
      <c r="E77" s="4" t="n"/>
      <c r="F77" s="44" t="n"/>
      <c r="G77" s="50" t="inlineStr"/>
      <c r="H77" s="50">
        <f>IF(ISERROR(VLOOKUP(G77,Key!$A$2:$B$982,2,FALSE)),"",VLOOKUP(G77,Key!$A$2:$B$982,2,FALSE))</f>
        <v/>
      </c>
      <c r="I77" s="4" t="n"/>
      <c r="J77" s="44" t="n"/>
      <c r="K77" s="50" t="inlineStr"/>
      <c r="L77" s="50">
        <f>IF(ISERROR(VLOOKUP(K77,Key!$A$2:$B$982,2,FALSE)),"",VLOOKUP(K77,Key!$A$2:$B$982,2,FALSE))</f>
        <v/>
      </c>
      <c r="M77" s="4" t="n">
        <v>70</v>
      </c>
      <c r="N77" s="44">
        <f>(ROUND((M77-0.5)/233*809+0.5,0)-0.5)/809*Calculator!$AD$2</f>
        <v/>
      </c>
      <c r="O77" s="50" t="n">
        <v>72</v>
      </c>
      <c r="P77" s="50">
        <f>IF(ISERROR(VLOOKUP(O77,Key!$A$2:$B$982,2,FALSE)),"",VLOOKUP(O77,Key!$A$2:$B$982,2,FALSE))</f>
        <v/>
      </c>
    </row>
    <row r="78" ht="15.75" customHeight="1" s="71">
      <c r="A78" s="4" t="n"/>
      <c r="B78" s="44" t="n"/>
      <c r="C78" s="50" t="inlineStr"/>
      <c r="D78" s="50">
        <f>IF(ISERROR(VLOOKUP(C78,Key!$A$2:$B$982,2,FALSE)),"",VLOOKUP(C78,Key!$A$2:$B$982,2,FALSE))</f>
        <v/>
      </c>
      <c r="E78" s="4" t="n">
        <v>15</v>
      </c>
      <c r="F78" s="44" t="n">
        <v>34.3584474426583</v>
      </c>
      <c r="G78" s="50" t="n">
        <v>76</v>
      </c>
      <c r="H78" s="50">
        <f>IF(ISERROR(VLOOKUP(G78,Key!$A$2:$B$982,2,FALSE)),"",VLOOKUP(G78,Key!$A$2:$B$982,2,FALSE))</f>
        <v/>
      </c>
      <c r="I78" s="4" t="n">
        <v>18</v>
      </c>
      <c r="J78" s="44" t="n">
        <v>34.3584474426583</v>
      </c>
      <c r="K78" s="50" t="n">
        <v>74</v>
      </c>
      <c r="L78" s="50">
        <f>IF(ISERROR(VLOOKUP(K78,Key!$A$2:$B$982,2,FALSE)),"",VLOOKUP(K78,Key!$A$2:$B$982,2,FALSE))</f>
        <v/>
      </c>
      <c r="M78" s="4" t="n">
        <v>71</v>
      </c>
      <c r="N78" s="44">
        <f>(ROUND((M78-0.5)/233*809+0.5,0)-0.5)/809*Calculator!$AD$2</f>
        <v/>
      </c>
      <c r="O78" s="50" t="n">
        <v>73</v>
      </c>
      <c r="P78" s="50">
        <f>IF(ISERROR(VLOOKUP(O78,Key!$A$2:$B$982,2,FALSE)),"",VLOOKUP(O78,Key!$A$2:$B$982,2,FALSE))</f>
        <v/>
      </c>
    </row>
    <row r="79" ht="15.75" customHeight="1" s="71">
      <c r="A79" s="4" t="n"/>
      <c r="B79" s="44" t="n"/>
      <c r="C79" s="50" t="inlineStr"/>
      <c r="D79" s="50">
        <f>IF(ISERROR(VLOOKUP(C79,Key!$A$2:$B$982,2,FALSE)),"",VLOOKUP(C79,Key!$A$2:$B$982,2,FALSE))</f>
        <v/>
      </c>
      <c r="E79" s="4" t="n"/>
      <c r="F79" s="44" t="n"/>
      <c r="G79" s="50" t="inlineStr"/>
      <c r="H79" s="50">
        <f>IF(ISERROR(VLOOKUP(G79,Key!$A$2:$B$982,2,FALSE)),"",VLOOKUP(G79,Key!$A$2:$B$982,2,FALSE))</f>
        <v/>
      </c>
      <c r="I79" s="4" t="n"/>
      <c r="J79" s="44" t="n"/>
      <c r="K79" s="50" t="inlineStr"/>
      <c r="L79" s="50">
        <f>IF(ISERROR(VLOOKUP(K79,Key!$A$2:$B$982,2,FALSE)),"",VLOOKUP(K79,Key!$A$2:$B$982,2,FALSE))</f>
        <v/>
      </c>
      <c r="M79" s="46" t="n">
        <v>72</v>
      </c>
      <c r="N79" s="47">
        <f>(ROUND((M79-0.5)/233*809+0.5,0)-0.5)/809*Calculator!$AD$2</f>
        <v/>
      </c>
      <c r="O79" s="50" t="n">
        <v>74</v>
      </c>
      <c r="P79" s="50">
        <f>IF(ISERROR(VLOOKUP(O79,Key!$A$2:$B$982,2,FALSE)),"",VLOOKUP(O79,Key!$A$2:$B$982,2,FALSE))</f>
        <v/>
      </c>
    </row>
    <row r="80" ht="15.75" customHeight="1" s="71">
      <c r="A80" s="4" t="n">
        <v>7</v>
      </c>
      <c r="B80" s="44" t="n">
        <v>35.1180914643665</v>
      </c>
      <c r="C80" s="50" t="n">
        <v>84</v>
      </c>
      <c r="D80" s="50">
        <f>IF(ISERROR(VLOOKUP(C80,Key!$A$2:$B$982,2,FALSE)),"",VLOOKUP(C80,Key!$A$2:$B$982,2,FALSE))</f>
        <v/>
      </c>
      <c r="E80" s="4" t="n"/>
      <c r="F80" s="44" t="n"/>
      <c r="G80" s="50" t="inlineStr"/>
      <c r="H80" s="50">
        <f>IF(ISERROR(VLOOKUP(G80,Key!$A$2:$B$982,2,FALSE)),"",VLOOKUP(G80,Key!$A$2:$B$982,2,FALSE))</f>
        <v/>
      </c>
      <c r="I80" s="4" t="n">
        <v>18.4</v>
      </c>
      <c r="J80" s="44" t="n">
        <v>35.1180914643665</v>
      </c>
      <c r="K80" s="50" t="n">
        <v>76</v>
      </c>
      <c r="L80" s="50">
        <f>IF(ISERROR(VLOOKUP(K80,Key!$A$2:$B$982,2,FALSE)),"",VLOOKUP(K80,Key!$A$2:$B$982,2,FALSE))</f>
        <v/>
      </c>
      <c r="M80" s="48">
        <f>M79+(N80-N79)/P$3</f>
        <v/>
      </c>
      <c r="N80" s="49">
        <f>(Commas!E76+Commas!E77)/2</f>
        <v/>
      </c>
      <c r="O80" s="50" t="n">
        <v>75</v>
      </c>
      <c r="P80" s="50">
        <f>IF(ISERROR(VLOOKUP(O80,Key!$A$2:$B$982,2,FALSE)),"",VLOOKUP(O80,Key!$A$2:$B$982,2,FALSE))</f>
        <v/>
      </c>
    </row>
    <row r="81" ht="15.75" customHeight="1" s="71">
      <c r="A81" s="4" t="n"/>
      <c r="B81" s="44" t="n"/>
      <c r="C81" s="50" t="inlineStr"/>
      <c r="D81" s="50">
        <f>IF(ISERROR(VLOOKUP(C81,Key!$A$2:$B$982,2,FALSE)),"",VLOOKUP(C81,Key!$A$2:$B$982,2,FALSE))</f>
        <v/>
      </c>
      <c r="E81" s="4" t="n"/>
      <c r="F81" s="44" t="n"/>
      <c r="G81" s="50" t="inlineStr"/>
      <c r="H81" s="50">
        <f>IF(ISERROR(VLOOKUP(G81,Key!$A$2:$B$982,2,FALSE)),"",VLOOKUP(G81,Key!$A$2:$B$982,2,FALSE))</f>
        <v/>
      </c>
      <c r="I81" s="4" t="n"/>
      <c r="J81" s="44" t="n"/>
      <c r="K81" s="50" t="inlineStr"/>
      <c r="L81" s="50">
        <f>IF(ISERROR(VLOOKUP(K81,Key!$A$2:$B$982,2,FALSE)),"",VLOOKUP(K81,Key!$A$2:$B$982,2,FALSE))</f>
        <v/>
      </c>
      <c r="M81" s="4" t="n">
        <v>73</v>
      </c>
      <c r="N81" s="44">
        <f>(ROUND((M81-0.5)/233*809+0.5,0)-0.5)/809*Calculator!$AD$2</f>
        <v/>
      </c>
      <c r="O81" s="50" t="n">
        <v>76</v>
      </c>
      <c r="P81" s="50">
        <f>IF(ISERROR(VLOOKUP(O81,Key!$A$2:$B$982,2,FALSE)),"",VLOOKUP(O81,Key!$A$2:$B$982,2,FALSE))</f>
        <v/>
      </c>
    </row>
    <row r="82" ht="15.75" customHeight="1" s="71">
      <c r="A82" s="4" t="n"/>
      <c r="B82" s="44" t="n"/>
      <c r="C82" s="50" t="inlineStr"/>
      <c r="D82" s="50">
        <f>IF(ISERROR(VLOOKUP(C82,Key!$A$2:$B$982,2,FALSE)),"",VLOOKUP(C82,Key!$A$2:$B$982,2,FALSE))</f>
        <v/>
      </c>
      <c r="E82" s="4" t="n"/>
      <c r="F82" s="44" t="n"/>
      <c r="G82" s="50" t="inlineStr"/>
      <c r="H82" s="50">
        <f>IF(ISERROR(VLOOKUP(G82,Key!$A$2:$B$982,2,FALSE)),"",VLOOKUP(G82,Key!$A$2:$B$982,2,FALSE))</f>
        <v/>
      </c>
      <c r="I82" s="4" t="n"/>
      <c r="J82" s="44" t="n"/>
      <c r="K82" s="50" t="inlineStr"/>
      <c r="L82" s="50">
        <f>IF(ISERROR(VLOOKUP(K82,Key!$A$2:$B$982,2,FALSE)),"",VLOOKUP(K82,Key!$A$2:$B$982,2,FALSE))</f>
        <v/>
      </c>
      <c r="M82" s="4" t="n">
        <v>74</v>
      </c>
      <c r="N82" s="44">
        <f>(ROUND((M82-0.5)/233*809+0.5,0)-0.5)/809*Calculator!$AD$2</f>
        <v/>
      </c>
      <c r="O82" s="50" t="n">
        <v>77</v>
      </c>
      <c r="P82" s="50">
        <f>IF(ISERROR(VLOOKUP(O82,Key!$A$2:$B$982,2,FALSE)),"",VLOOKUP(O82,Key!$A$2:$B$982,2,FALSE))</f>
        <v/>
      </c>
    </row>
    <row r="83" ht="15.75" customHeight="1" s="71">
      <c r="A83" s="4" t="n"/>
      <c r="B83" s="44" t="n"/>
      <c r="C83" s="50" t="inlineStr"/>
      <c r="D83" s="50">
        <f>IF(ISERROR(VLOOKUP(C83,Key!$A$2:$B$982,2,FALSE)),"",VLOOKUP(C83,Key!$A$2:$B$982,2,FALSE))</f>
        <v/>
      </c>
      <c r="E83" s="4" t="n"/>
      <c r="F83" s="44" t="n"/>
      <c r="G83" s="50" t="inlineStr"/>
      <c r="H83" s="50">
        <f>IF(ISERROR(VLOOKUP(G83,Key!$A$2:$B$982,2,FALSE)),"",VLOOKUP(G83,Key!$A$2:$B$982,2,FALSE))</f>
        <v/>
      </c>
      <c r="I83" s="4" t="n">
        <v>19</v>
      </c>
      <c r="J83" s="51" t="n">
        <v>36.325802306451</v>
      </c>
      <c r="K83" s="50" t="n">
        <v>79</v>
      </c>
      <c r="L83" s="50">
        <f>IF(ISERROR(VLOOKUP(K83,Key!$A$2:$B$982,2,FALSE)),"",VLOOKUP(K83,Key!$A$2:$B$982,2,FALSE))</f>
        <v/>
      </c>
      <c r="M83" s="4" t="n">
        <v>75</v>
      </c>
      <c r="N83" s="44">
        <f>(ROUND((M83-0.5)/233*809+0.5,0)-0.5)/809*Calculator!$AD$2</f>
        <v/>
      </c>
      <c r="O83" s="50" t="n">
        <v>78</v>
      </c>
      <c r="P83" s="50">
        <f>IF(ISERROR(VLOOKUP(O83,Key!$A$2:$B$982,2,FALSE)),"",VLOOKUP(O83,Key!$A$2:$B$982,2,FALSE))</f>
        <v/>
      </c>
    </row>
    <row r="84" ht="15.75" customHeight="1" s="71">
      <c r="A84" s="4" t="n"/>
      <c r="B84" s="44" t="n"/>
      <c r="C84" s="50" t="inlineStr"/>
      <c r="D84" s="50">
        <f>IF(ISERROR(VLOOKUP(C84,Key!$A$2:$B$982,2,FALSE)),"",VLOOKUP(C84,Key!$A$2:$B$982,2,FALSE))</f>
        <v/>
      </c>
      <c r="E84" s="4" t="n"/>
      <c r="F84" s="44" t="n"/>
      <c r="G84" s="50" t="inlineStr"/>
      <c r="H84" s="50">
        <f>IF(ISERROR(VLOOKUP(G84,Key!$A$2:$B$982,2,FALSE)),"",VLOOKUP(G84,Key!$A$2:$B$982,2,FALSE))</f>
        <v/>
      </c>
      <c r="I84" s="4" t="n"/>
      <c r="J84" s="44" t="n"/>
      <c r="K84" s="50" t="inlineStr"/>
      <c r="L84" s="50">
        <f>IF(ISERROR(VLOOKUP(K84,Key!$A$2:$B$982,2,FALSE)),"",VLOOKUP(K84,Key!$A$2:$B$982,2,FALSE))</f>
        <v/>
      </c>
      <c r="M84" s="4" t="n">
        <v>76</v>
      </c>
      <c r="N84" s="44">
        <f>(ROUND((M84-0.5)/233*809+0.5,0)-0.5)/809*Calculator!$AD$2</f>
        <v/>
      </c>
      <c r="O84" s="50" t="n">
        <v>79</v>
      </c>
      <c r="P84" s="50">
        <f>IF(ISERROR(VLOOKUP(O84,Key!$A$2:$B$982,2,FALSE)),"",VLOOKUP(O84,Key!$A$2:$B$982,2,FALSE))</f>
        <v/>
      </c>
    </row>
    <row r="85" ht="15.75" customHeight="1" s="71">
      <c r="A85" s="4" t="n"/>
      <c r="B85" s="44" t="n"/>
      <c r="C85" s="50" t="inlineStr"/>
      <c r="D85" s="50">
        <f>IF(ISERROR(VLOOKUP(C85,Key!$A$2:$B$982,2,FALSE)),"",VLOOKUP(C85,Key!$A$2:$B$982,2,FALSE))</f>
        <v/>
      </c>
      <c r="E85" s="4" t="n">
        <v>16</v>
      </c>
      <c r="F85" s="44" t="n">
        <v>37.3094797383467</v>
      </c>
      <c r="G85" s="50" t="n">
        <v>81</v>
      </c>
      <c r="H85" s="50">
        <f>IF(ISERROR(VLOOKUP(G85,Key!$A$2:$B$982,2,FALSE)),"",VLOOKUP(G85,Key!$A$2:$B$982,2,FALSE))</f>
        <v/>
      </c>
      <c r="I85" s="4" t="n">
        <v>19.6</v>
      </c>
      <c r="J85" s="44" t="n">
        <v>37.3094797383467</v>
      </c>
      <c r="K85" s="50" t="n">
        <v>80</v>
      </c>
      <c r="L85" s="50">
        <f>IF(ISERROR(VLOOKUP(K85,Key!$A$2:$B$982,2,FALSE)),"",VLOOKUP(K85,Key!$A$2:$B$982,2,FALSE))</f>
        <v/>
      </c>
      <c r="M85" s="4" t="n">
        <v>77</v>
      </c>
      <c r="N85" s="44">
        <f>(ROUND((M85-0.5)/233*809+0.5,0)-0.5)/809*Calculator!$AD$2</f>
        <v/>
      </c>
      <c r="O85" s="50" t="n">
        <v>80</v>
      </c>
      <c r="P85" s="50">
        <f>IF(ISERROR(VLOOKUP(O85,Key!$A$2:$B$982,2,FALSE)),"",VLOOKUP(O85,Key!$A$2:$B$982,2,FALSE))</f>
        <v/>
      </c>
    </row>
    <row r="86" ht="15.75" customHeight="1" s="71">
      <c r="A86" s="4" t="n"/>
      <c r="B86" s="44" t="n"/>
      <c r="C86" s="50" t="inlineStr"/>
      <c r="D86" s="50">
        <f>IF(ISERROR(VLOOKUP(C86,Key!$A$2:$B$982,2,FALSE)),"",VLOOKUP(C86,Key!$A$2:$B$982,2,FALSE))</f>
        <v/>
      </c>
      <c r="E86" s="4" t="n"/>
      <c r="F86" s="44" t="n"/>
      <c r="G86" s="50" t="inlineStr"/>
      <c r="H86" s="50">
        <f>IF(ISERROR(VLOOKUP(G86,Key!$A$2:$B$982,2,FALSE)),"",VLOOKUP(G86,Key!$A$2:$B$982,2,FALSE))</f>
        <v/>
      </c>
      <c r="I86" s="4" t="n">
        <v>19.9</v>
      </c>
      <c r="J86" s="44" t="n">
        <v>37.8715811280017</v>
      </c>
      <c r="K86" s="50" t="n">
        <v>81</v>
      </c>
      <c r="L86" s="50">
        <f>IF(ISERROR(VLOOKUP(K86,Key!$A$2:$B$982,2,FALSE)),"",VLOOKUP(K86,Key!$A$2:$B$982,2,FALSE))</f>
        <v/>
      </c>
      <c r="M86" s="46" t="n">
        <v>78</v>
      </c>
      <c r="N86" s="47">
        <f>(ROUND((M86-0.5)/233*809+0.5,0)-0.5)/809*Calculator!$AD$2</f>
        <v/>
      </c>
      <c r="O86" s="50" t="n">
        <v>81</v>
      </c>
      <c r="P86" s="50">
        <f>IF(ISERROR(VLOOKUP(O86,Key!$A$2:$B$982,2,FALSE)),"",VLOOKUP(O86,Key!$A$2:$B$982,2,FALSE))</f>
        <v/>
      </c>
    </row>
    <row r="87" ht="15.75" customHeight="1" s="71">
      <c r="A87" s="4" t="n"/>
      <c r="B87" s="44" t="n"/>
      <c r="C87" s="50" t="inlineStr"/>
      <c r="D87" s="50">
        <f>IF(ISERROR(VLOOKUP(C87,Key!$A$2:$B$982,2,FALSE)),"",VLOOKUP(C87,Key!$A$2:$B$982,2,FALSE))</f>
        <v/>
      </c>
      <c r="E87" s="4" t="n">
        <v>16.3</v>
      </c>
      <c r="F87" s="44" t="n">
        <v>38.0619403497785</v>
      </c>
      <c r="G87" s="50" t="n">
        <v>84</v>
      </c>
      <c r="H87" s="50">
        <f>IF(ISERROR(VLOOKUP(G87,Key!$A$2:$B$982,2,FALSE)),"",VLOOKUP(G87,Key!$A$2:$B$982,2,FALSE))</f>
        <v/>
      </c>
      <c r="I87" s="4" t="n">
        <v>20</v>
      </c>
      <c r="J87" s="44" t="n">
        <v>38.0619403497785</v>
      </c>
      <c r="K87" s="50" t="n">
        <v>84</v>
      </c>
      <c r="L87" s="50">
        <f>IF(ISERROR(VLOOKUP(K87,Key!$A$2:$B$982,2,FALSE)),"",VLOOKUP(K87,Key!$A$2:$B$982,2,FALSE))</f>
        <v/>
      </c>
      <c r="M87" s="48">
        <f>M86+(N87-N86)/P$3</f>
        <v/>
      </c>
      <c r="N87" s="49">
        <f>(Commas!E83+Commas!E84)/2</f>
        <v/>
      </c>
      <c r="O87" s="50" t="n">
        <v>82</v>
      </c>
      <c r="P87" s="50">
        <f>IF(ISERROR(VLOOKUP(O87,Key!$A$2:$B$982,2,FALSE)),"",VLOOKUP(O87,Key!$A$2:$B$982,2,FALSE))</f>
        <v/>
      </c>
    </row>
    <row r="88" ht="15.75" customHeight="1" s="71">
      <c r="A88" s="4" t="n"/>
      <c r="B88" s="44" t="n"/>
      <c r="C88" s="50" t="inlineStr"/>
      <c r="D88" s="50">
        <f>IF(ISERROR(VLOOKUP(C88,Key!$A$2:$B$982,2,FALSE)),"",VLOOKUP(C88,Key!$A$2:$B$982,2,FALSE))</f>
        <v/>
      </c>
      <c r="E88" s="4" t="n"/>
      <c r="F88" s="44" t="n"/>
      <c r="G88" s="50" t="inlineStr"/>
      <c r="H88" s="50">
        <f>IF(ISERROR(VLOOKUP(G88,Key!$A$2:$B$982,2,FALSE)),"",VLOOKUP(G88,Key!$A$2:$B$982,2,FALSE))</f>
        <v/>
      </c>
      <c r="I88" s="4" t="n"/>
      <c r="J88" s="44" t="n"/>
      <c r="K88" s="50" t="inlineStr"/>
      <c r="L88" s="50">
        <f>IF(ISERROR(VLOOKUP(K88,Key!$A$2:$B$982,2,FALSE)),"",VLOOKUP(K88,Key!$A$2:$B$982,2,FALSE))</f>
        <v/>
      </c>
      <c r="M88" s="4" t="n">
        <v>79</v>
      </c>
      <c r="N88" s="44">
        <f>(ROUND((M88-0.5)/233*809+0.5,0)-0.5)/809*Calculator!$AD$2</f>
        <v/>
      </c>
      <c r="O88" s="50" t="n">
        <v>83</v>
      </c>
      <c r="P88" s="50">
        <f>IF(ISERROR(VLOOKUP(O88,Key!$A$2:$B$982,2,FALSE)),"",VLOOKUP(O88,Key!$A$2:$B$982,2,FALSE))</f>
        <v/>
      </c>
    </row>
    <row r="89" ht="15.75" customHeight="1" s="71">
      <c r="A89" s="4" t="n"/>
      <c r="B89" s="44" t="n"/>
      <c r="C89" s="50" t="inlineStr"/>
      <c r="D89" s="50">
        <f>IF(ISERROR(VLOOKUP(C89,Key!$A$2:$B$982,2,FALSE)),"",VLOOKUP(C89,Key!$A$2:$B$982,2,FALSE))</f>
        <v/>
      </c>
      <c r="E89" s="4" t="n"/>
      <c r="F89" s="44" t="n"/>
      <c r="G89" s="50" t="inlineStr"/>
      <c r="H89" s="50">
        <f>IF(ISERROR(VLOOKUP(G89,Key!$A$2:$B$982,2,FALSE)),"",VLOOKUP(G89,Key!$A$2:$B$982,2,FALSE))</f>
        <v/>
      </c>
      <c r="I89" s="4" t="n"/>
      <c r="J89" s="44" t="n"/>
      <c r="K89" s="50" t="inlineStr"/>
      <c r="L89" s="50">
        <f>IF(ISERROR(VLOOKUP(K89,Key!$A$2:$B$982,2,FALSE)),"",VLOOKUP(K89,Key!$A$2:$B$982,2,FALSE))</f>
        <v/>
      </c>
      <c r="M89" s="4" t="n">
        <v>80</v>
      </c>
      <c r="N89" s="44">
        <f>(ROUND((M89-0.5)/233*809+0.5,0)-0.5)/809*Calculator!$AD$2</f>
        <v/>
      </c>
      <c r="O89" s="50" t="n">
        <v>84</v>
      </c>
      <c r="P89" s="50">
        <f>IF(ISERROR(VLOOKUP(O89,Key!$A$2:$B$982,2,FALSE)),"",VLOOKUP(O89,Key!$A$2:$B$982,2,FALSE))</f>
        <v/>
      </c>
    </row>
    <row r="90" ht="15.75" customHeight="1" s="71">
      <c r="A90" s="4" t="n"/>
      <c r="B90" s="44" t="n"/>
      <c r="C90" s="50" t="inlineStr"/>
      <c r="D90" s="50">
        <f>IF(ISERROR(VLOOKUP(C90,Key!$A$2:$B$982,2,FALSE)),"",VLOOKUP(C90,Key!$A$2:$B$982,2,FALSE))</f>
        <v/>
      </c>
      <c r="E90" s="4" t="n"/>
      <c r="F90" s="44" t="n"/>
      <c r="G90" s="50" t="inlineStr"/>
      <c r="H90" s="50">
        <f>IF(ISERROR(VLOOKUP(G90,Key!$A$2:$B$982,2,FALSE)),"",VLOOKUP(G90,Key!$A$2:$B$982,2,FALSE))</f>
        <v/>
      </c>
      <c r="I90" s="4" t="n"/>
      <c r="J90" s="44" t="n"/>
      <c r="K90" s="50" t="inlineStr"/>
      <c r="L90" s="50">
        <f>IF(ISERROR(VLOOKUP(K90,Key!$A$2:$B$982,2,FALSE)),"",VLOOKUP(K90,Key!$A$2:$B$982,2,FALSE))</f>
        <v/>
      </c>
      <c r="M90" s="4" t="n">
        <v>81</v>
      </c>
      <c r="N90" s="44">
        <f>(ROUND((M90-0.5)/233*809+0.5,0)-0.5)/809*Calculator!$AD$2</f>
        <v/>
      </c>
      <c r="O90" s="50" t="n">
        <v>85</v>
      </c>
      <c r="P90" s="50">
        <f>IF(ISERROR(VLOOKUP(O90,Key!$A$2:$B$982,2,FALSE)),"",VLOOKUP(O90,Key!$A$2:$B$982,2,FALSE))</f>
        <v/>
      </c>
    </row>
    <row r="91" ht="15.75" customHeight="1" s="71">
      <c r="A91" s="4" t="n"/>
      <c r="B91" s="44" t="n"/>
      <c r="C91" s="50" t="inlineStr"/>
      <c r="D91" s="50">
        <f>IF(ISERROR(VLOOKUP(C91,Key!$A$2:$B$982,2,FALSE)),"",VLOOKUP(C91,Key!$A$2:$B$982,2,FALSE))</f>
        <v/>
      </c>
      <c r="E91" s="4" t="n">
        <v>17</v>
      </c>
      <c r="F91" s="44" t="n">
        <v>39.6984106443802</v>
      </c>
      <c r="G91" s="50" t="n">
        <v>86</v>
      </c>
      <c r="H91" s="50">
        <f>IF(ISERROR(VLOOKUP(G91,Key!$A$2:$B$982,2,FALSE)),"",VLOOKUP(G91,Key!$A$2:$B$982,2,FALSE))</f>
        <v/>
      </c>
      <c r="I91" s="4" t="n">
        <v>20.8</v>
      </c>
      <c r="J91" s="44" t="n">
        <v>39.6984106443802</v>
      </c>
      <c r="K91" s="50" t="n">
        <v>86</v>
      </c>
      <c r="L91" s="50">
        <f>IF(ISERROR(VLOOKUP(K91,Key!$A$2:$B$982,2,FALSE)),"",VLOOKUP(K91,Key!$A$2:$B$982,2,FALSE))</f>
        <v/>
      </c>
      <c r="M91" s="4" t="n">
        <v>82</v>
      </c>
      <c r="N91" s="44">
        <f>(ROUND((M91-0.5)/233*809+0.5,0)-0.5)/809*Calculator!$AD$2</f>
        <v/>
      </c>
      <c r="O91" s="50" t="n">
        <v>86</v>
      </c>
      <c r="P91" s="50">
        <f>IF(ISERROR(VLOOKUP(O91,Key!$A$2:$B$982,2,FALSE)),"",VLOOKUP(O91,Key!$A$2:$B$982,2,FALSE))</f>
        <v/>
      </c>
    </row>
    <row r="92" ht="15.75" customHeight="1" s="71">
      <c r="A92" s="4" t="n">
        <v>8</v>
      </c>
      <c r="B92" s="44" t="n">
        <v>40.2605120340352</v>
      </c>
      <c r="C92" s="50" t="n">
        <v>92</v>
      </c>
      <c r="D92" s="50">
        <f>IF(ISERROR(VLOOKUP(C92,Key!$A$2:$B$982,2,FALSE)),"",VLOOKUP(C92,Key!$A$2:$B$982,2,FALSE))</f>
        <v/>
      </c>
      <c r="E92" s="4" t="n"/>
      <c r="F92" s="44" t="n"/>
      <c r="G92" s="50" t="inlineStr"/>
      <c r="H92" s="50">
        <f>IF(ISERROR(VLOOKUP(G92,Key!$A$2:$B$982,2,FALSE)),"",VLOOKUP(G92,Key!$A$2:$B$982,2,FALSE))</f>
        <v/>
      </c>
      <c r="I92" s="4" t="n">
        <v>21</v>
      </c>
      <c r="J92" s="44" t="n">
        <v>40.2605120340352</v>
      </c>
      <c r="K92" s="50" t="n">
        <v>88</v>
      </c>
      <c r="L92" s="50">
        <f>IF(ISERROR(VLOOKUP(K92,Key!$A$2:$B$982,2,FALSE)),"",VLOOKUP(K92,Key!$A$2:$B$982,2,FALSE))</f>
        <v/>
      </c>
      <c r="M92" s="4" t="n">
        <v>83</v>
      </c>
      <c r="N92" s="44">
        <f>(ROUND((M92-0.5)/233*809+0.5,0)-0.5)/809*Calculator!$AD$2</f>
        <v/>
      </c>
      <c r="O92" s="50" t="n">
        <v>87</v>
      </c>
      <c r="P92" s="50">
        <f>IF(ISERROR(VLOOKUP(O92,Key!$A$2:$B$982,2,FALSE)),"",VLOOKUP(O92,Key!$A$2:$B$982,2,FALSE))</f>
        <v/>
      </c>
    </row>
    <row r="93" ht="15.75" customHeight="1" s="71">
      <c r="A93" s="4" t="n"/>
      <c r="B93" s="44" t="n"/>
      <c r="C93" s="50" t="inlineStr"/>
      <c r="D93" s="50">
        <f>IF(ISERROR(VLOOKUP(C93,Key!$A$2:$B$982,2,FALSE)),"",VLOOKUP(C93,Key!$A$2:$B$982,2,FALSE))</f>
        <v/>
      </c>
      <c r="E93" s="4" t="n"/>
      <c r="F93" s="44" t="n"/>
      <c r="G93" s="50" t="inlineStr"/>
      <c r="H93" s="50">
        <f>IF(ISERROR(VLOOKUP(G93,Key!$A$2:$B$982,2,FALSE)),"",VLOOKUP(G93,Key!$A$2:$B$982,2,FALSE))</f>
        <v/>
      </c>
      <c r="I93" s="4" t="n"/>
      <c r="J93" s="44" t="n"/>
      <c r="K93" s="50" t="inlineStr"/>
      <c r="L93" s="50">
        <f>IF(ISERROR(VLOOKUP(K93,Key!$A$2:$B$982,2,FALSE)),"",VLOOKUP(K93,Key!$A$2:$B$982,2,FALSE))</f>
        <v/>
      </c>
      <c r="M93" s="4" t="n">
        <v>84</v>
      </c>
      <c r="N93" s="44">
        <f>(ROUND((M93-0.5)/233*809+0.5,0)-0.5)/809*Calculator!$AD$2</f>
        <v/>
      </c>
      <c r="O93" s="50" t="n">
        <v>88</v>
      </c>
      <c r="P93" s="50">
        <f>IF(ISERROR(VLOOKUP(O93,Key!$A$2:$B$982,2,FALSE)),"",VLOOKUP(O93,Key!$A$2:$B$982,2,FALSE))</f>
        <v/>
      </c>
    </row>
    <row r="94" ht="15.75" customHeight="1" s="71">
      <c r="A94" s="4" t="n"/>
      <c r="B94" s="44" t="n"/>
      <c r="C94" s="50" t="inlineStr"/>
      <c r="D94" s="50">
        <f>IF(ISERROR(VLOOKUP(C94,Key!$A$2:$B$982,2,FALSE)),"",VLOOKUP(C94,Key!$A$2:$B$982,2,FALSE))</f>
        <v/>
      </c>
      <c r="E94" s="4" t="n"/>
      <c r="F94" s="44" t="n"/>
      <c r="G94" s="50" t="inlineStr"/>
      <c r="H94" s="50">
        <f>IF(ISERROR(VLOOKUP(G94,Key!$A$2:$B$982,2,FALSE)),"",VLOOKUP(G94,Key!$A$2:$B$982,2,FALSE))</f>
        <v/>
      </c>
      <c r="I94" s="4" t="n"/>
      <c r="J94" s="44" t="n"/>
      <c r="K94" s="50" t="inlineStr"/>
      <c r="L94" s="50">
        <f>IF(ISERROR(VLOOKUP(K94,Key!$A$2:$B$982,2,FALSE)),"",VLOOKUP(K94,Key!$A$2:$B$982,2,FALSE))</f>
        <v/>
      </c>
      <c r="M94" s="4" t="n">
        <v>85</v>
      </c>
      <c r="N94" s="44">
        <f>(ROUND((M94-0.5)/233*809+0.5,0)-0.5)/809*Calculator!$AD$2</f>
        <v/>
      </c>
      <c r="O94" s="50" t="n">
        <v>89</v>
      </c>
      <c r="P94" s="50">
        <f>IF(ISERROR(VLOOKUP(O94,Key!$A$2:$B$982,2,FALSE)),"",VLOOKUP(O94,Key!$A$2:$B$982,2,FALSE))</f>
        <v/>
      </c>
    </row>
    <row r="95" ht="15.75" customHeight="1" s="71">
      <c r="A95" s="4" t="n"/>
      <c r="B95" s="44" t="n"/>
      <c r="C95" s="50" t="inlineStr"/>
      <c r="D95" s="50">
        <f>IF(ISERROR(VLOOKUP(C95,Key!$A$2:$B$982,2,FALSE)),"",VLOOKUP(C95,Key!$A$2:$B$982,2,FALSE))</f>
        <v/>
      </c>
      <c r="E95" s="4" t="n">
        <v>18</v>
      </c>
      <c r="F95" s="44" t="n">
        <v>41.6657655081725</v>
      </c>
      <c r="G95" s="50" t="n">
        <v>92</v>
      </c>
      <c r="H95" s="50">
        <f>IF(ISERROR(VLOOKUP(G95,Key!$A$2:$B$982,2,FALSE)),"",VLOOKUP(G95,Key!$A$2:$B$982,2,FALSE))</f>
        <v/>
      </c>
      <c r="I95" s="4" t="n">
        <v>22</v>
      </c>
      <c r="J95" s="44" t="n">
        <v>41.6657655081725</v>
      </c>
      <c r="K95" s="50" t="n">
        <v>92</v>
      </c>
      <c r="L95" s="50">
        <f>IF(ISERROR(VLOOKUP(K95,Key!$A$2:$B$982,2,FALSE)),"",VLOOKUP(K95,Key!$A$2:$B$982,2,FALSE))</f>
        <v/>
      </c>
      <c r="M95" s="4" t="n">
        <v>86</v>
      </c>
      <c r="N95" s="44">
        <f>(ROUND((M95-0.5)/233*809+0.5,0)-0.5)/809*Calculator!$AD$2</f>
        <v/>
      </c>
      <c r="O95" s="50" t="n">
        <v>90</v>
      </c>
      <c r="P95" s="50">
        <f>IF(ISERROR(VLOOKUP(O95,Key!$A$2:$B$982,2,FALSE)),"",VLOOKUP(O95,Key!$A$2:$B$982,2,FALSE))</f>
        <v/>
      </c>
    </row>
    <row r="96" ht="15.75" customHeight="1" s="71">
      <c r="A96" s="4" t="n"/>
      <c r="B96" s="44" t="n"/>
      <c r="C96" s="50" t="inlineStr"/>
      <c r="D96" s="50">
        <f>IF(ISERROR(VLOOKUP(C96,Key!$A$2:$B$982,2,FALSE)),"",VLOOKUP(C96,Key!$A$2:$B$982,2,FALSE))</f>
        <v/>
      </c>
      <c r="E96" s="4" t="n"/>
      <c r="F96" s="44" t="n"/>
      <c r="G96" s="50" t="inlineStr"/>
      <c r="H96" s="50">
        <f>IF(ISERROR(VLOOKUP(G96,Key!$A$2:$B$982,2,FALSE)),"",VLOOKUP(G96,Key!$A$2:$B$982,2,FALSE))</f>
        <v/>
      </c>
      <c r="I96" s="4" t="n"/>
      <c r="J96" s="44" t="n"/>
      <c r="K96" s="50" t="inlineStr"/>
      <c r="L96" s="50">
        <f>IF(ISERROR(VLOOKUP(K96,Key!$A$2:$B$982,2,FALSE)),"",VLOOKUP(K96,Key!$A$2:$B$982,2,FALSE))</f>
        <v/>
      </c>
      <c r="M96" s="4" t="n">
        <v>87</v>
      </c>
      <c r="N96" s="44">
        <f>(ROUND((M96-0.5)/233*809+0.5,0)-0.5)/809*Calculator!$AD$2</f>
        <v/>
      </c>
      <c r="O96" s="50" t="n">
        <v>91</v>
      </c>
      <c r="P96" s="50">
        <f>IF(ISERROR(VLOOKUP(O96,Key!$A$2:$B$982,2,FALSE)),"",VLOOKUP(O96,Key!$A$2:$B$982,2,FALSE))</f>
        <v/>
      </c>
    </row>
    <row r="97" ht="15.75" customHeight="1" s="71">
      <c r="A97" s="4" t="n"/>
      <c r="B97" s="44" t="n"/>
      <c r="C97" s="50" t="inlineStr"/>
      <c r="D97" s="50">
        <f>IF(ISERROR(VLOOKUP(C97,Key!$A$2:$B$982,2,FALSE)),"",VLOOKUP(C97,Key!$A$2:$B$982,2,FALSE))</f>
        <v/>
      </c>
      <c r="E97" s="4" t="n"/>
      <c r="F97" s="44" t="n"/>
      <c r="G97" s="50" t="inlineStr"/>
      <c r="H97" s="50">
        <f>IF(ISERROR(VLOOKUP(G97,Key!$A$2:$B$982,2,FALSE)),"",VLOOKUP(G97,Key!$A$2:$B$982,2,FALSE))</f>
        <v/>
      </c>
      <c r="I97" s="4" t="n"/>
      <c r="J97" s="44" t="n"/>
      <c r="K97" s="50" t="inlineStr"/>
      <c r="L97" s="50">
        <f>IF(ISERROR(VLOOKUP(K97,Key!$A$2:$B$982,2,FALSE)),"",VLOOKUP(K97,Key!$A$2:$B$982,2,FALSE))</f>
        <v/>
      </c>
      <c r="M97" s="4" t="n">
        <v>88</v>
      </c>
      <c r="N97" s="44">
        <f>(ROUND((M97-0.5)/233*809+0.5,0)-0.5)/809*Calculator!$AD$2</f>
        <v/>
      </c>
      <c r="O97" s="50" t="n">
        <v>92</v>
      </c>
      <c r="P97" s="50">
        <f>IF(ISERROR(VLOOKUP(O97,Key!$A$2:$B$982,2,FALSE)),"",VLOOKUP(O97,Key!$A$2:$B$982,2,FALSE))</f>
        <v/>
      </c>
    </row>
    <row r="98" ht="15.75" customHeight="1" s="71">
      <c r="A98" s="4" t="n"/>
      <c r="B98" s="44" t="n"/>
      <c r="C98" s="50" t="inlineStr"/>
      <c r="D98" s="50">
        <f>IF(ISERROR(VLOOKUP(C98,Key!$A$2:$B$982,2,FALSE)),"",VLOOKUP(C98,Key!$A$2:$B$982,2,FALSE))</f>
        <v/>
      </c>
      <c r="E98" s="4" t="n"/>
      <c r="F98" s="44" t="n"/>
      <c r="G98" s="50" t="inlineStr"/>
      <c r="H98" s="50">
        <f>IF(ISERROR(VLOOKUP(G98,Key!$A$2:$B$982,2,FALSE)),"",VLOOKUP(G98,Key!$A$2:$B$982,2,FALSE))</f>
        <v/>
      </c>
      <c r="I98" s="4" t="n"/>
      <c r="J98" s="44" t="n"/>
      <c r="K98" s="50" t="inlineStr"/>
      <c r="L98" s="50">
        <f>IF(ISERROR(VLOOKUP(K98,Key!$A$2:$B$982,2,FALSE)),"",VLOOKUP(K98,Key!$A$2:$B$982,2,FALSE))</f>
        <v/>
      </c>
      <c r="M98" s="4" t="n">
        <v>89</v>
      </c>
      <c r="N98" s="44">
        <f>(ROUND((M98-0.5)/233*809+0.5,0)-0.5)/809*Calculator!$AD$2</f>
        <v/>
      </c>
      <c r="O98" s="50" t="n">
        <v>93</v>
      </c>
      <c r="P98" s="50">
        <f>IF(ISERROR(VLOOKUP(O98,Key!$A$2:$B$982,2,FALSE)),"",VLOOKUP(O98,Key!$A$2:$B$982,2,FALSE))</f>
        <v/>
      </c>
    </row>
    <row r="99" ht="15.75" customHeight="1" s="71">
      <c r="A99" s="4" t="n"/>
      <c r="B99" s="44" t="n"/>
      <c r="C99" s="50" t="inlineStr"/>
      <c r="D99" s="50">
        <f>IF(ISERROR(VLOOKUP(C99,Key!$A$2:$B$982,2,FALSE)),"",VLOOKUP(C99,Key!$A$2:$B$982,2,FALSE))</f>
        <v/>
      </c>
      <c r="E99" s="4" t="n"/>
      <c r="F99" s="44" t="n"/>
      <c r="G99" s="50" t="inlineStr"/>
      <c r="H99" s="50">
        <f>IF(ISERROR(VLOOKUP(G99,Key!$A$2:$B$982,2,FALSE)),"",VLOOKUP(G99,Key!$A$2:$B$982,2,FALSE))</f>
        <v/>
      </c>
      <c r="I99" s="4" t="n"/>
      <c r="J99" s="44" t="n"/>
      <c r="K99" s="50" t="inlineStr"/>
      <c r="L99" s="50">
        <f>IF(ISERROR(VLOOKUP(K99,Key!$A$2:$B$982,2,FALSE)),"",VLOOKUP(K99,Key!$A$2:$B$982,2,FALSE))</f>
        <v/>
      </c>
      <c r="M99" s="4" t="n">
        <v>90</v>
      </c>
      <c r="N99" s="44">
        <f>(ROUND((M99-0.5)/233*809+0.5,0)-0.5)/809*Calculator!$AD$2</f>
        <v/>
      </c>
      <c r="O99" s="50" t="n">
        <v>94</v>
      </c>
      <c r="P99" s="50">
        <f>IF(ISERROR(VLOOKUP(O99,Key!$A$2:$B$982,2,FALSE)),"",VLOOKUP(O99,Key!$A$2:$B$982,2,FALSE))</f>
        <v/>
      </c>
    </row>
    <row r="100" ht="15.75" customHeight="1" s="71">
      <c r="A100" s="4" t="n"/>
      <c r="B100" s="44" t="n"/>
      <c r="C100" s="50" t="inlineStr"/>
      <c r="D100" s="50">
        <f>IF(ISERROR(VLOOKUP(C100,Key!$A$2:$B$982,2,FALSE)),"",VLOOKUP(C100,Key!$A$2:$B$982,2,FALSE))</f>
        <v/>
      </c>
      <c r="E100" s="4" t="n"/>
      <c r="F100" s="44" t="n"/>
      <c r="G100" s="50" t="inlineStr"/>
      <c r="H100" s="50">
        <f>IF(ISERROR(VLOOKUP(G100,Key!$A$2:$B$982,2,FALSE)),"",VLOOKUP(G100,Key!$A$2:$B$982,2,FALSE))</f>
        <v/>
      </c>
      <c r="I100" s="4" t="n">
        <v>23</v>
      </c>
      <c r="J100" s="44" t="n">
        <v>44.1952217616198</v>
      </c>
      <c r="K100" s="50" t="n">
        <v>96</v>
      </c>
      <c r="L100" s="50">
        <f>IF(ISERROR(VLOOKUP(K100,Key!$A$2:$B$982,2,FALSE)),"",VLOOKUP(K100,Key!$A$2:$B$982,2,FALSE))</f>
        <v/>
      </c>
      <c r="M100" s="4" t="n">
        <v>91</v>
      </c>
      <c r="N100" s="44">
        <f>(ROUND((M100-0.5)/233*809+0.5,0)-0.5)/809*Calculator!$AD$2</f>
        <v/>
      </c>
      <c r="O100" s="50" t="n">
        <v>95</v>
      </c>
      <c r="P100" s="50">
        <f>IF(ISERROR(VLOOKUP(O100,Key!$A$2:$B$982,2,FALSE)),"",VLOOKUP(O100,Key!$A$2:$B$982,2,FALSE))</f>
        <v/>
      </c>
    </row>
    <row r="101" ht="15.75" customHeight="1" s="71">
      <c r="A101" s="4" t="n"/>
      <c r="B101" s="44" t="n"/>
      <c r="C101" s="50" t="inlineStr"/>
      <c r="D101" s="50">
        <f>IF(ISERROR(VLOOKUP(C101,Key!$A$2:$B$982,2,FALSE)),"",VLOOKUP(C101,Key!$A$2:$B$982,2,FALSE))</f>
        <v/>
      </c>
      <c r="F101" s="44" t="n"/>
      <c r="I101" s="4" t="n"/>
      <c r="J101" s="44" t="n"/>
      <c r="K101" s="50" t="inlineStr"/>
      <c r="L101" s="50">
        <f>IF(ISERROR(VLOOKUP(K101,Key!$A$2:$B$982,2,FALSE)),"",VLOOKUP(K101,Key!$A$2:$B$982,2,FALSE))</f>
        <v/>
      </c>
      <c r="M101" s="4" t="n">
        <v>92</v>
      </c>
      <c r="N101" s="44">
        <f>(ROUND((M101-0.5)/233*809+0.5,0)-0.5)/809*Calculator!$AD$2</f>
        <v/>
      </c>
      <c r="O101" s="50" t="n">
        <v>96</v>
      </c>
      <c r="P101" s="50">
        <f>IF(ISERROR(VLOOKUP(O101,Key!$A$2:$B$982,2,FALSE)),"",VLOOKUP(O101,Key!$A$2:$B$982,2,FALSE))</f>
        <v/>
      </c>
    </row>
    <row r="102" ht="15.75" customHeight="1" s="71">
      <c r="A102" s="52" t="n">
        <v>9</v>
      </c>
      <c r="B102" s="53" t="n">
        <v>45.1124978365313</v>
      </c>
      <c r="C102" s="55" t="n">
        <v>104</v>
      </c>
      <c r="D102" s="55">
        <f>IF(ISERROR(VLOOKUP(C102,Key!$A$2:$B$982,2,FALSE)),"",VLOOKUP(C102,Key!$A$2:$B$982,2,FALSE))</f>
        <v/>
      </c>
      <c r="E102" s="52" t="n">
        <v>19</v>
      </c>
      <c r="F102" s="53" t="n">
        <v>45.1124978365313</v>
      </c>
      <c r="G102" s="55" t="n">
        <v>99</v>
      </c>
      <c r="H102" s="55">
        <f>IF(ISERROR(VLOOKUP(G102,Key!$A$2:$B$982,2,FALSE)),"",VLOOKUP(G102,Key!$A$2:$B$982,2,FALSE))</f>
        <v/>
      </c>
      <c r="I102" s="52" t="n">
        <v>24</v>
      </c>
      <c r="J102" s="53" t="n">
        <v>45.1124978365313</v>
      </c>
      <c r="K102" s="55" t="n">
        <v>99</v>
      </c>
      <c r="L102" s="55">
        <f>IF(ISERROR(VLOOKUP(K102,Key!$A$2:$B$982,2,FALSE)),"",VLOOKUP(K102,Key!$A$2:$B$982,2,FALSE))</f>
        <v/>
      </c>
      <c r="M102" s="52" t="n">
        <v>93</v>
      </c>
      <c r="N102" s="53" t="n">
        <v>45.1124978365313</v>
      </c>
      <c r="O102" s="55" t="n">
        <v>97</v>
      </c>
      <c r="P102" s="55">
        <f>IF(ISERROR(VLOOKUP(O102,Key!$A$2:$B$982,2,FALSE)),"",VLOOKUP(O102,Key!$A$2:$B$982,2,FALSE))</f>
        <v/>
      </c>
    </row>
    <row r="103" ht="15.75" customHeight="1" s="71">
      <c r="B103" s="44" t="n"/>
      <c r="E103" s="4" t="n"/>
      <c r="F103" s="44" t="n"/>
      <c r="G103" s="50" t="inlineStr"/>
      <c r="H103" s="50">
        <f>IF(ISERROR(VLOOKUP(G103,Key!$A$2:$B$982,2,FALSE)),"",VLOOKUP(G103,Key!$A$2:$B$982,2,FALSE))</f>
        <v/>
      </c>
      <c r="M103" s="4" t="n">
        <v>94</v>
      </c>
      <c r="N103" s="44">
        <f>(ROUND((M103-0.5)/233*809+0.5,0)-0.5)/809*Calculator!$AD$2</f>
        <v/>
      </c>
      <c r="O103" s="50" t="n">
        <v>98</v>
      </c>
      <c r="P103" s="50">
        <f>IF(ISERROR(VLOOKUP(O103,Key!$A$2:$B$982,2,FALSE)),"",VLOOKUP(O103,Key!$A$2:$B$982,2,FALSE))</f>
        <v/>
      </c>
    </row>
    <row r="104" ht="15.75" customHeight="1" s="71">
      <c r="A104" s="4" t="n"/>
      <c r="B104" s="44" t="n"/>
      <c r="C104" s="50" t="inlineStr"/>
      <c r="D104" s="50">
        <f>IF(ISERROR(VLOOKUP(C104,Key!$A$2:$B$982,2,FALSE)),"",VLOOKUP(C104,Key!$A$2:$B$982,2,FALSE))</f>
        <v/>
      </c>
      <c r="E104" s="4" t="n"/>
      <c r="F104" s="44" t="n"/>
      <c r="G104" s="50" t="inlineStr"/>
      <c r="H104" s="50">
        <f>IF(ISERROR(VLOOKUP(G104,Key!$A$2:$B$982,2,FALSE)),"",VLOOKUP(G104,Key!$A$2:$B$982,2,FALSE))</f>
        <v/>
      </c>
      <c r="I104" s="4" t="n"/>
      <c r="J104" s="44" t="n"/>
      <c r="K104" s="50" t="inlineStr"/>
      <c r="L104" s="50">
        <f>IF(ISERROR(VLOOKUP(K104,Key!$A$2:$B$982,2,FALSE)),"",VLOOKUP(K104,Key!$A$2:$B$982,2,FALSE))</f>
        <v/>
      </c>
      <c r="M104" s="4" t="n">
        <v>95</v>
      </c>
      <c r="N104" s="44">
        <f>(ROUND((M104-0.5)/233*809+0.5,0)-0.5)/809*Calculator!$AD$2</f>
        <v/>
      </c>
      <c r="O104" s="50" t="n">
        <v>99</v>
      </c>
      <c r="P104" s="50">
        <f>IF(ISERROR(VLOOKUP(O104,Key!$A$2:$B$982,2,FALSE)),"",VLOOKUP(O104,Key!$A$2:$B$982,2,FALSE))</f>
        <v/>
      </c>
    </row>
    <row r="105" ht="15.75" customHeight="1" s="71">
      <c r="A105" s="4" t="n"/>
      <c r="B105" s="44" t="n"/>
      <c r="C105" s="50" t="inlineStr"/>
      <c r="D105" s="50">
        <f>IF(ISERROR(VLOOKUP(C105,Key!$A$2:$B$982,2,FALSE)),"",VLOOKUP(C105,Key!$A$2:$B$982,2,FALSE))</f>
        <v/>
      </c>
      <c r="E105" s="4" t="n"/>
      <c r="F105" s="44" t="n"/>
      <c r="G105" s="50" t="inlineStr"/>
      <c r="H105" s="50">
        <f>IF(ISERROR(VLOOKUP(G105,Key!$A$2:$B$982,2,FALSE)),"",VLOOKUP(G105,Key!$A$2:$B$982,2,FALSE))</f>
        <v/>
      </c>
      <c r="I105" s="4" t="n"/>
      <c r="J105" s="44" t="n"/>
      <c r="K105" s="50" t="inlineStr"/>
      <c r="L105" s="50">
        <f>IF(ISERROR(VLOOKUP(K105,Key!$A$2:$B$982,2,FALSE)),"",VLOOKUP(K105,Key!$A$2:$B$982,2,FALSE))</f>
        <v/>
      </c>
      <c r="M105" s="4" t="n">
        <v>96</v>
      </c>
      <c r="N105" s="44">
        <f>(ROUND((M105-0.5)/233*809+0.5,0)-0.5)/809*Calculator!$AD$2</f>
        <v/>
      </c>
      <c r="O105" s="50" t="n">
        <v>100</v>
      </c>
      <c r="P105" s="50">
        <f>IF(ISERROR(VLOOKUP(O105,Key!$A$2:$B$982,2,FALSE)),"",VLOOKUP(O105,Key!$A$2:$B$982,2,FALSE))</f>
        <v/>
      </c>
    </row>
    <row r="106" ht="15.75" customHeight="1" s="71">
      <c r="A106" s="4" t="n"/>
      <c r="B106" s="44" t="n"/>
      <c r="C106" s="50" t="inlineStr"/>
      <c r="D106" s="50">
        <f>IF(ISERROR(VLOOKUP(C106,Key!$A$2:$B$982,2,FALSE)),"",VLOOKUP(C106,Key!$A$2:$B$982,2,FALSE))</f>
        <v/>
      </c>
      <c r="E106" s="4" t="n"/>
      <c r="F106" s="44" t="n"/>
      <c r="G106" s="50" t="inlineStr"/>
      <c r="H106" s="50">
        <f>IF(ISERROR(VLOOKUP(G106,Key!$A$2:$B$982,2,FALSE)),"",VLOOKUP(G106,Key!$A$2:$B$982,2,FALSE))</f>
        <v/>
      </c>
      <c r="I106" s="4" t="n"/>
      <c r="J106" s="44" t="n"/>
      <c r="K106" s="50" t="inlineStr"/>
      <c r="L106" s="50">
        <f>IF(ISERROR(VLOOKUP(K106,Key!$A$2:$B$982,2,FALSE)),"",VLOOKUP(K106,Key!$A$2:$B$982,2,FALSE))</f>
        <v/>
      </c>
      <c r="M106" s="4" t="n">
        <v>97</v>
      </c>
      <c r="N106" s="44">
        <f>(ROUND((M106-0.5)/233*809+0.5,0)-0.5)/809*Calculator!$AD$2</f>
        <v/>
      </c>
      <c r="O106" s="50" t="n">
        <v>101</v>
      </c>
      <c r="P106" s="50">
        <f>IF(ISERROR(VLOOKUP(O106,Key!$A$2:$B$982,2,FALSE)),"",VLOOKUP(O106,Key!$A$2:$B$982,2,FALSE))</f>
        <v/>
      </c>
    </row>
    <row r="107" ht="15.75" customHeight="1" s="71">
      <c r="A107" s="4" t="n"/>
      <c r="B107" s="44" t="n"/>
      <c r="C107" s="50" t="inlineStr"/>
      <c r="D107" s="50">
        <f>IF(ISERROR(VLOOKUP(C107,Key!$A$2:$B$982,2,FALSE)),"",VLOOKUP(C107,Key!$A$2:$B$982,2,FALSE))</f>
        <v/>
      </c>
      <c r="E107" s="4" t="n">
        <v>20</v>
      </c>
      <c r="F107" s="44" t="n">
        <v>47.5678300995494</v>
      </c>
      <c r="G107" s="50" t="n">
        <v>104</v>
      </c>
      <c r="H107" s="50">
        <f>IF(ISERROR(VLOOKUP(G107,Key!$A$2:$B$982,2,FALSE)),"",VLOOKUP(G107,Key!$A$2:$B$982,2,FALSE))</f>
        <v/>
      </c>
      <c r="I107" s="4" t="n">
        <v>25</v>
      </c>
      <c r="J107" s="44" t="n">
        <v>47.5678300995494</v>
      </c>
      <c r="K107" s="50" t="n">
        <v>104</v>
      </c>
      <c r="L107" s="50">
        <f>IF(ISERROR(VLOOKUP(K107,Key!$A$2:$B$982,2,FALSE)),"",VLOOKUP(K107,Key!$A$2:$B$982,2,FALSE))</f>
        <v/>
      </c>
      <c r="M107" s="4" t="n">
        <v>98</v>
      </c>
      <c r="N107" s="44">
        <f>(ROUND((M107-0.5)/233*809+0.5,0)-0.5)/809*Calculator!$AD$2</f>
        <v/>
      </c>
      <c r="O107" s="50" t="n">
        <v>102</v>
      </c>
      <c r="P107" s="50">
        <f>IF(ISERROR(VLOOKUP(O107,Key!$A$2:$B$982,2,FALSE)),"",VLOOKUP(O107,Key!$A$2:$B$982,2,FALSE))</f>
        <v/>
      </c>
    </row>
    <row r="108" ht="15.75" customHeight="1" s="71">
      <c r="A108" s="4" t="n"/>
      <c r="B108" s="44" t="n"/>
      <c r="C108" s="50" t="inlineStr"/>
      <c r="D108" s="50">
        <f>IF(ISERROR(VLOOKUP(C108,Key!$A$2:$B$982,2,FALSE)),"",VLOOKUP(C108,Key!$A$2:$B$982,2,FALSE))</f>
        <v/>
      </c>
      <c r="E108" s="4" t="n"/>
      <c r="F108" s="44" t="n"/>
      <c r="G108" s="50" t="inlineStr"/>
      <c r="H108" s="50">
        <f>IF(ISERROR(VLOOKUP(G108,Key!$A$2:$B$982,2,FALSE)),"",VLOOKUP(G108,Key!$A$2:$B$982,2,FALSE))</f>
        <v/>
      </c>
      <c r="I108" s="4" t="n"/>
      <c r="J108" s="44" t="n"/>
      <c r="K108" s="50" t="inlineStr"/>
      <c r="L108" s="50">
        <f>IF(ISERROR(VLOOKUP(K108,Key!$A$2:$B$982,2,FALSE)),"",VLOOKUP(K108,Key!$A$2:$B$982,2,FALSE))</f>
        <v/>
      </c>
      <c r="M108" s="4" t="n">
        <v>99</v>
      </c>
      <c r="N108" s="44">
        <f>(ROUND((M108-0.5)/233*809+0.5,0)-0.5)/809*Calculator!$AD$2</f>
        <v/>
      </c>
      <c r="O108" s="50" t="n">
        <v>103</v>
      </c>
      <c r="P108" s="50">
        <f>IF(ISERROR(VLOOKUP(O108,Key!$A$2:$B$982,2,FALSE)),"",VLOOKUP(O108,Key!$A$2:$B$982,2,FALSE))</f>
        <v/>
      </c>
    </row>
    <row r="109" ht="15.75" customHeight="1" s="71">
      <c r="A109" s="4" t="n"/>
      <c r="B109" s="44" t="n"/>
      <c r="C109" s="50" t="inlineStr"/>
      <c r="D109" s="50">
        <f>IF(ISERROR(VLOOKUP(C109,Key!$A$2:$B$982,2,FALSE)),"",VLOOKUP(C109,Key!$A$2:$B$982,2,FALSE))</f>
        <v/>
      </c>
      <c r="E109" s="4" t="n"/>
      <c r="F109" s="44" t="n"/>
      <c r="G109" s="50" t="inlineStr"/>
      <c r="H109" s="50">
        <f>IF(ISERROR(VLOOKUP(G109,Key!$A$2:$B$982,2,FALSE)),"",VLOOKUP(G109,Key!$A$2:$B$982,2,FALSE))</f>
        <v/>
      </c>
      <c r="I109" s="4" t="n"/>
      <c r="J109" s="44" t="n"/>
      <c r="K109" s="50" t="inlineStr"/>
      <c r="L109" s="50">
        <f>IF(ISERROR(VLOOKUP(K109,Key!$A$2:$B$982,2,FALSE)),"",VLOOKUP(K109,Key!$A$2:$B$982,2,FALSE))</f>
        <v/>
      </c>
      <c r="M109" s="4" t="n">
        <v>100</v>
      </c>
      <c r="N109" s="44">
        <f>(ROUND((M109-0.5)/233*809+0.5,0)-0.5)/809*Calculator!$AD$2</f>
        <v/>
      </c>
      <c r="O109" s="50" t="n">
        <v>104</v>
      </c>
      <c r="P109" s="50">
        <f>IF(ISERROR(VLOOKUP(O109,Key!$A$2:$B$982,2,FALSE)),"",VLOOKUP(O109,Key!$A$2:$B$982,2,FALSE))</f>
        <v/>
      </c>
    </row>
    <row r="110" ht="15.75" customHeight="1" s="71">
      <c r="A110" s="4" t="n"/>
      <c r="B110" s="44" t="n"/>
      <c r="C110" s="50" t="inlineStr"/>
      <c r="D110" s="50">
        <f>IF(ISERROR(VLOOKUP(C110,Key!$A$2:$B$982,2,FALSE)),"",VLOOKUP(C110,Key!$A$2:$B$982,2,FALSE))</f>
        <v/>
      </c>
      <c r="E110" s="4" t="n"/>
      <c r="F110" s="44" t="n"/>
      <c r="G110" s="50" t="inlineStr"/>
      <c r="H110" s="50">
        <f>IF(ISERROR(VLOOKUP(G110,Key!$A$2:$B$982,2,FALSE)),"",VLOOKUP(G110,Key!$A$2:$B$982,2,FALSE))</f>
        <v/>
      </c>
      <c r="I110" s="4" t="n"/>
      <c r="J110" s="44" t="n"/>
      <c r="K110" s="50" t="inlineStr"/>
      <c r="L110" s="50">
        <f>IF(ISERROR(VLOOKUP(K110,Key!$A$2:$B$982,2,FALSE)),"",VLOOKUP(K110,Key!$A$2:$B$982,2,FALSE))</f>
        <v/>
      </c>
      <c r="M110" s="4" t="n">
        <v>101</v>
      </c>
      <c r="N110" s="44">
        <f>(ROUND((M110-0.5)/233*809+0.5,0)-0.5)/809*Calculator!$AD$2</f>
        <v/>
      </c>
      <c r="O110" s="50" t="n">
        <v>105</v>
      </c>
      <c r="P110" s="50">
        <f>IF(ISERROR(VLOOKUP(O110,Key!$A$2:$B$982,2,FALSE)),"",VLOOKUP(O110,Key!$A$2:$B$982,2,FALSE))</f>
        <v/>
      </c>
    </row>
    <row r="111" ht="15.75" customHeight="1" s="71">
      <c r="A111" s="4" t="n"/>
      <c r="B111" s="44" t="n"/>
      <c r="C111" s="50" t="inlineStr"/>
      <c r="D111" s="50">
        <f>IF(ISERROR(VLOOKUP(C111,Key!$A$2:$B$982,2,FALSE)),"",VLOOKUP(C111,Key!$A$2:$B$982,2,FALSE))</f>
        <v/>
      </c>
      <c r="E111" s="4" t="n">
        <v>21</v>
      </c>
      <c r="F111" s="44" t="n">
        <v>49.5351849633417</v>
      </c>
      <c r="G111" s="50" t="n">
        <v>106</v>
      </c>
      <c r="H111" s="50">
        <f>IF(ISERROR(VLOOKUP(G111,Key!$A$2:$B$982,2,FALSE)),"",VLOOKUP(G111,Key!$A$2:$B$982,2,FALSE))</f>
        <v/>
      </c>
      <c r="I111" s="4" t="n">
        <v>25.8</v>
      </c>
      <c r="J111" s="44" t="n">
        <v>49.5351849633417</v>
      </c>
      <c r="K111" s="50" t="n">
        <v>106</v>
      </c>
      <c r="L111" s="50">
        <f>IF(ISERROR(VLOOKUP(K111,Key!$A$2:$B$982,2,FALSE)),"",VLOOKUP(K111,Key!$A$2:$B$982,2,FALSE))</f>
        <v/>
      </c>
      <c r="M111" s="4" t="n">
        <v>102</v>
      </c>
      <c r="N111" s="44">
        <f>(ROUND((M111-0.5)/233*809+0.5,0)-0.5)/809*Calculator!$AD$2</f>
        <v/>
      </c>
      <c r="O111" s="50" t="n">
        <v>106</v>
      </c>
      <c r="P111" s="50">
        <f>IF(ISERROR(VLOOKUP(O111,Key!$A$2:$B$982,2,FALSE)),"",VLOOKUP(O111,Key!$A$2:$B$982,2,FALSE))</f>
        <v/>
      </c>
    </row>
    <row r="112" ht="15.75" customHeight="1" s="71">
      <c r="A112" s="4" t="n"/>
      <c r="B112" s="44" t="n"/>
      <c r="C112" s="50" t="inlineStr"/>
      <c r="D112" s="50">
        <f>IF(ISERROR(VLOOKUP(C112,Key!$A$2:$B$982,2,FALSE)),"",VLOOKUP(C112,Key!$A$2:$B$982,2,FALSE))</f>
        <v/>
      </c>
      <c r="E112" s="4" t="n"/>
      <c r="F112" s="44" t="n"/>
      <c r="G112" s="50" t="inlineStr"/>
      <c r="H112" s="50">
        <f>IF(ISERROR(VLOOKUP(G112,Key!$A$2:$B$982,2,FALSE)),"",VLOOKUP(G112,Key!$A$2:$B$982,2,FALSE))</f>
        <v/>
      </c>
      <c r="I112" s="4" t="n">
        <v>26</v>
      </c>
      <c r="J112" s="44" t="n">
        <v>49.9567610055829</v>
      </c>
      <c r="K112" s="50" t="n">
        <v>108</v>
      </c>
      <c r="L112" s="50">
        <f>IF(ISERROR(VLOOKUP(K112,Key!$A$2:$B$982,2,FALSE)),"",VLOOKUP(K112,Key!$A$2:$B$982,2,FALSE))</f>
        <v/>
      </c>
      <c r="M112" s="4" t="n">
        <v>103</v>
      </c>
      <c r="N112" s="44">
        <f>(ROUND((M112-0.5)/233*809+0.5,0)-0.5)/809*Calculator!$AD$2</f>
        <v/>
      </c>
      <c r="O112" s="50" t="n">
        <v>107</v>
      </c>
      <c r="P112" s="50">
        <f>IF(ISERROR(VLOOKUP(O112,Key!$A$2:$B$982,2,FALSE)),"",VLOOKUP(O112,Key!$A$2:$B$982,2,FALSE))</f>
        <v/>
      </c>
    </row>
    <row r="113" ht="15.75" customHeight="1" s="71">
      <c r="A113" s="4" t="n"/>
      <c r="B113" s="44" t="n"/>
      <c r="C113" s="50" t="inlineStr"/>
      <c r="D113" s="50">
        <f>IF(ISERROR(VLOOKUP(C113,Key!$A$2:$B$982,2,FALSE)),"",VLOOKUP(C113,Key!$A$2:$B$982,2,FALSE))</f>
        <v/>
      </c>
      <c r="E113" s="4" t="n"/>
      <c r="F113" s="44" t="n"/>
      <c r="G113" s="50" t="inlineStr"/>
      <c r="H113" s="50">
        <f>IF(ISERROR(VLOOKUP(G113,Key!$A$2:$B$982,2,FALSE)),"",VLOOKUP(G113,Key!$A$2:$B$982,2,FALSE))</f>
        <v/>
      </c>
      <c r="I113" s="4" t="n"/>
      <c r="J113" s="44" t="n"/>
      <c r="K113" s="50" t="inlineStr"/>
      <c r="L113" s="50">
        <f>IF(ISERROR(VLOOKUP(K113,Key!$A$2:$B$982,2,FALSE)),"",VLOOKUP(K113,Key!$A$2:$B$982,2,FALSE))</f>
        <v/>
      </c>
      <c r="M113" s="4" t="n">
        <v>104</v>
      </c>
      <c r="N113" s="44">
        <f>(ROUND((M113-0.5)/233*809+0.5,0)-0.5)/809*Calculator!$AD$2</f>
        <v/>
      </c>
      <c r="O113" s="50" t="n">
        <v>108</v>
      </c>
      <c r="P113" s="50">
        <f>IF(ISERROR(VLOOKUP(O113,Key!$A$2:$B$982,2,FALSE)),"",VLOOKUP(O113,Key!$A$2:$B$982,2,FALSE))</f>
        <v/>
      </c>
    </row>
    <row r="114" ht="15.75" customHeight="1" s="71">
      <c r="A114" s="4" t="n"/>
      <c r="B114" s="44" t="n"/>
      <c r="C114" s="50" t="inlineStr"/>
      <c r="D114" s="50">
        <f>IF(ISERROR(VLOOKUP(C114,Key!$A$2:$B$982,2,FALSE)),"",VLOOKUP(C114,Key!$A$2:$B$982,2,FALSE))</f>
        <v/>
      </c>
      <c r="E114" s="4" t="n"/>
      <c r="F114" s="44" t="n"/>
      <c r="G114" s="50" t="inlineStr"/>
      <c r="H114" s="50">
        <f>IF(ISERROR(VLOOKUP(G114,Key!$A$2:$B$982,2,FALSE)),"",VLOOKUP(G114,Key!$A$2:$B$982,2,FALSE))</f>
        <v/>
      </c>
      <c r="I114" s="4" t="n"/>
      <c r="J114" s="44" t="n"/>
      <c r="K114" s="50" t="inlineStr"/>
      <c r="L114" s="50">
        <f>IF(ISERROR(VLOOKUP(K114,Key!$A$2:$B$982,2,FALSE)),"",VLOOKUP(K114,Key!$A$2:$B$982,2,FALSE))</f>
        <v/>
      </c>
      <c r="M114" s="46" t="n">
        <v>105</v>
      </c>
      <c r="N114" s="47">
        <f>(ROUND((M114-0.5)/233*809+0.5,0)-0.5)/809*Calculator!$AD$2</f>
        <v/>
      </c>
      <c r="O114" s="50" t="n">
        <v>109</v>
      </c>
      <c r="P114" s="50">
        <f>IF(ISERROR(VLOOKUP(O114,Key!$A$2:$B$982,2,FALSE)),"",VLOOKUP(O114,Key!$A$2:$B$982,2,FALSE))</f>
        <v/>
      </c>
    </row>
    <row r="115" ht="15.75" customHeight="1" s="71">
      <c r="A115" s="4" t="n">
        <v>10</v>
      </c>
      <c r="B115" s="44" t="n">
        <v>51.21954024885571</v>
      </c>
      <c r="C115" s="50" t="n">
        <v>114</v>
      </c>
      <c r="D115" s="50">
        <f>IF(ISERROR(VLOOKUP(C115,Key!$A$2:$B$982,2,FALSE)),"",VLOOKUP(C115,Key!$A$2:$B$982,2,FALSE))</f>
        <v/>
      </c>
      <c r="E115" s="4" t="n"/>
      <c r="F115" s="44" t="n"/>
      <c r="G115" s="50" t="inlineStr"/>
      <c r="H115" s="50">
        <f>IF(ISERROR(VLOOKUP(G115,Key!$A$2:$B$982,2,FALSE)),"",VLOOKUP(G115,Key!$A$2:$B$982,2,FALSE))</f>
        <v/>
      </c>
      <c r="I115" s="4" t="n">
        <v>26.6</v>
      </c>
      <c r="J115" s="44" t="n">
        <v>51.21954024885571</v>
      </c>
      <c r="K115" s="50" t="n">
        <v>110</v>
      </c>
      <c r="L115" s="50">
        <f>IF(ISERROR(VLOOKUP(K115,Key!$A$2:$B$982,2,FALSE)),"",VLOOKUP(K115,Key!$A$2:$B$982,2,FALSE))</f>
        <v/>
      </c>
      <c r="M115" s="48">
        <f>M114+(N115-N114)/P$3</f>
        <v/>
      </c>
      <c r="N115" s="49">
        <f>(Commas!E111+Commas!E112)/2</f>
        <v/>
      </c>
      <c r="O115" s="50" t="n">
        <v>110</v>
      </c>
      <c r="P115" s="50">
        <f>IF(ISERROR(VLOOKUP(O115,Key!$A$2:$B$982,2,FALSE)),"",VLOOKUP(O115,Key!$A$2:$B$982,2,FALSE))</f>
        <v/>
      </c>
    </row>
    <row r="116" ht="15.75" customHeight="1" s="71">
      <c r="A116" s="4" t="n"/>
      <c r="B116" s="44" t="n"/>
      <c r="C116" s="50" t="inlineStr"/>
      <c r="D116" s="50">
        <f>IF(ISERROR(VLOOKUP(C116,Key!$A$2:$B$982,2,FALSE)),"",VLOOKUP(C116,Key!$A$2:$B$982,2,FALSE))</f>
        <v/>
      </c>
      <c r="E116" s="4" t="n"/>
      <c r="F116" s="44" t="n"/>
      <c r="G116" s="50" t="inlineStr"/>
      <c r="H116" s="50">
        <f>IF(ISERROR(VLOOKUP(G116,Key!$A$2:$B$982,2,FALSE)),"",VLOOKUP(G116,Key!$A$2:$B$982,2,FALSE))</f>
        <v/>
      </c>
      <c r="I116" s="4" t="n"/>
      <c r="J116" s="44" t="n"/>
      <c r="K116" s="50" t="inlineStr"/>
      <c r="L116" s="50">
        <f>IF(ISERROR(VLOOKUP(K116,Key!$A$2:$B$982,2,FALSE)),"",VLOOKUP(K116,Key!$A$2:$B$982,2,FALSE))</f>
        <v/>
      </c>
      <c r="M116" s="4" t="n">
        <v>106</v>
      </c>
      <c r="N116" s="44">
        <f>(ROUND((M116-0.5)/233*809+0.5,0)-0.5)/809*Calculator!$AD$2</f>
        <v/>
      </c>
      <c r="O116" s="50" t="n">
        <v>111</v>
      </c>
      <c r="P116" s="50">
        <f>IF(ISERROR(VLOOKUP(O116,Key!$A$2:$B$982,2,FALSE)),"",VLOOKUP(O116,Key!$A$2:$B$982,2,FALSE))</f>
        <v/>
      </c>
    </row>
    <row r="117" ht="15.75" customHeight="1" s="71">
      <c r="A117" s="4" t="n"/>
      <c r="B117" s="44" t="n"/>
      <c r="C117" s="50" t="inlineStr"/>
      <c r="D117" s="50">
        <f>IF(ISERROR(VLOOKUP(C117,Key!$A$2:$B$982,2,FALSE)),"",VLOOKUP(C117,Key!$A$2:$B$982,2,FALSE))</f>
        <v/>
      </c>
      <c r="E117" s="4" t="n">
        <v>22</v>
      </c>
      <c r="F117" s="44" t="n">
        <v>51.9241158693752</v>
      </c>
      <c r="G117" s="50" t="n">
        <v>114</v>
      </c>
      <c r="H117" s="50">
        <f>IF(ISERROR(VLOOKUP(G117,Key!$A$2:$B$982,2,FALSE)),"",VLOOKUP(G117,Key!$A$2:$B$982,2,FALSE))</f>
        <v/>
      </c>
      <c r="I117" s="4" t="n">
        <v>27</v>
      </c>
      <c r="J117" s="44" t="n">
        <v>51.9241158693752</v>
      </c>
      <c r="K117" s="50" t="n">
        <v>114</v>
      </c>
      <c r="L117" s="50">
        <f>IF(ISERROR(VLOOKUP(K117,Key!$A$2:$B$982,2,FALSE)),"",VLOOKUP(K117,Key!$A$2:$B$982,2,FALSE))</f>
        <v/>
      </c>
      <c r="M117" s="4" t="n">
        <v>107</v>
      </c>
      <c r="N117" s="44">
        <f>(ROUND((M117-0.5)/233*809+0.5,0)-0.5)/809*Calculator!$AD$2</f>
        <v/>
      </c>
      <c r="O117" s="50" t="n">
        <v>112</v>
      </c>
      <c r="P117" s="50">
        <f>IF(ISERROR(VLOOKUP(O117,Key!$A$2:$B$982,2,FALSE)),"",VLOOKUP(O117,Key!$A$2:$B$982,2,FALSE))</f>
        <v/>
      </c>
    </row>
    <row r="118" ht="15.75" customHeight="1" s="71">
      <c r="A118" s="4" t="n"/>
      <c r="B118" s="44" t="n"/>
      <c r="C118" s="50" t="inlineStr"/>
      <c r="D118" s="50">
        <f>IF(ISERROR(VLOOKUP(C118,Key!$A$2:$B$982,2,FALSE)),"",VLOOKUP(C118,Key!$A$2:$B$982,2,FALSE))</f>
        <v/>
      </c>
      <c r="E118" s="4" t="n"/>
      <c r="F118" s="44" t="n"/>
      <c r="G118" s="50" t="inlineStr"/>
      <c r="H118" s="50">
        <f>IF(ISERROR(VLOOKUP(G118,Key!$A$2:$B$982,2,FALSE)),"",VLOOKUP(G118,Key!$A$2:$B$982,2,FALSE))</f>
        <v/>
      </c>
      <c r="I118" s="4" t="n"/>
      <c r="J118" s="44" t="n"/>
      <c r="K118" s="50" t="inlineStr"/>
      <c r="L118" s="50">
        <f>IF(ISERROR(VLOOKUP(K118,Key!$A$2:$B$982,2,FALSE)),"",VLOOKUP(K118,Key!$A$2:$B$982,2,FALSE))</f>
        <v/>
      </c>
      <c r="M118" s="4" t="n">
        <v>108</v>
      </c>
      <c r="N118" s="44">
        <f>(ROUND((M118-0.5)/233*809+0.5,0)-0.5)/809*Calculator!$AD$2</f>
        <v/>
      </c>
      <c r="O118" s="50" t="n">
        <v>113</v>
      </c>
      <c r="P118" s="50">
        <f>IF(ISERROR(VLOOKUP(O118,Key!$A$2:$B$982,2,FALSE)),"",VLOOKUP(O118,Key!$A$2:$B$982,2,FALSE))</f>
        <v/>
      </c>
    </row>
    <row r="119" ht="15.75" customHeight="1" s="71">
      <c r="A119" s="4" t="n"/>
      <c r="B119" s="44" t="n"/>
      <c r="C119" s="50" t="inlineStr"/>
      <c r="D119" s="50">
        <f>IF(ISERROR(VLOOKUP(C119,Key!$A$2:$B$982,2,FALSE)),"",VLOOKUP(C119,Key!$A$2:$B$982,2,FALSE))</f>
        <v/>
      </c>
      <c r="E119" s="4" t="n"/>
      <c r="F119" s="44" t="n"/>
      <c r="G119" s="50" t="inlineStr"/>
      <c r="H119" s="50">
        <f>IF(ISERROR(VLOOKUP(G119,Key!$A$2:$B$982,2,FALSE)),"",VLOOKUP(G119,Key!$A$2:$B$982,2,FALSE))</f>
        <v/>
      </c>
      <c r="I119" s="4" t="n"/>
      <c r="J119" s="44" t="n"/>
      <c r="K119" s="50" t="inlineStr"/>
      <c r="L119" s="50">
        <f>IF(ISERROR(VLOOKUP(K119,Key!$A$2:$B$982,2,FALSE)),"",VLOOKUP(K119,Key!$A$2:$B$982,2,FALSE))</f>
        <v/>
      </c>
      <c r="M119" s="4" t="n">
        <v>109</v>
      </c>
      <c r="N119" s="44">
        <f>(ROUND((M119-0.5)/233*809+0.5,0)-0.5)/809*Calculator!$AD$2</f>
        <v/>
      </c>
      <c r="O119" s="50" t="n">
        <v>114</v>
      </c>
      <c r="P119" s="50">
        <f>IF(ISERROR(VLOOKUP(O119,Key!$A$2:$B$982,2,FALSE)),"",VLOOKUP(O119,Key!$A$2:$B$982,2,FALSE))</f>
        <v/>
      </c>
    </row>
    <row r="120" ht="15.75" customHeight="1" s="71">
      <c r="A120" s="4" t="n"/>
      <c r="B120" s="44" t="n"/>
      <c r="C120" s="50" t="inlineStr"/>
      <c r="D120" s="50">
        <f>IF(ISERROR(VLOOKUP(C120,Key!$A$2:$B$982,2,FALSE)),"",VLOOKUP(C120,Key!$A$2:$B$982,2,FALSE))</f>
        <v/>
      </c>
      <c r="E120" s="4" t="n"/>
      <c r="F120" s="44" t="n"/>
      <c r="G120" s="50" t="inlineStr"/>
      <c r="H120" s="50">
        <f>IF(ISERROR(VLOOKUP(G120,Key!$A$2:$B$982,2,FALSE)),"",VLOOKUP(G120,Key!$A$2:$B$982,2,FALSE))</f>
        <v/>
      </c>
      <c r="I120" s="4" t="n"/>
      <c r="J120" s="44" t="n"/>
      <c r="K120" s="50" t="inlineStr"/>
      <c r="L120" s="50">
        <f>IF(ISERROR(VLOOKUP(K120,Key!$A$2:$B$982,2,FALSE)),"",VLOOKUP(K120,Key!$A$2:$B$982,2,FALSE))</f>
        <v/>
      </c>
      <c r="M120" s="4" t="n">
        <v>110</v>
      </c>
      <c r="N120" s="44">
        <f>(ROUND((M120-0.5)/233*809+0.5,0)-0.5)/809*Calculator!$AD$2</f>
        <v/>
      </c>
      <c r="O120" s="50" t="n">
        <v>115</v>
      </c>
      <c r="P120" s="50">
        <f>IF(ISERROR(VLOOKUP(O120,Key!$A$2:$B$982,2,FALSE)),"",VLOOKUP(O120,Key!$A$2:$B$982,2,FALSE))</f>
        <v/>
      </c>
    </row>
    <row r="121" ht="15.75" customHeight="1" s="71">
      <c r="A121" s="4" t="n"/>
      <c r="B121" s="44" t="n"/>
      <c r="C121" s="50" t="inlineStr"/>
      <c r="D121" s="50">
        <f>IF(ISERROR(VLOOKUP(C121,Key!$A$2:$B$982,2,FALSE)),"",VLOOKUP(C121,Key!$A$2:$B$982,2,FALSE))</f>
        <v/>
      </c>
      <c r="E121" s="4" t="n">
        <v>23</v>
      </c>
      <c r="F121" s="44" t="n">
        <v>53.8914707331675</v>
      </c>
      <c r="G121" s="50" t="n">
        <v>117</v>
      </c>
      <c r="H121" s="50">
        <f>IF(ISERROR(VLOOKUP(G121,Key!$A$2:$B$982,2,FALSE)),"",VLOOKUP(G121,Key!$A$2:$B$982,2,FALSE))</f>
        <v/>
      </c>
      <c r="I121" s="4" t="n">
        <v>28</v>
      </c>
      <c r="J121" s="44" t="n">
        <v>53.8914707331675</v>
      </c>
      <c r="K121" s="50" t="n">
        <v>117</v>
      </c>
      <c r="L121" s="50">
        <f>IF(ISERROR(VLOOKUP(K121,Key!$A$2:$B$982,2,FALSE)),"",VLOOKUP(K121,Key!$A$2:$B$982,2,FALSE))</f>
        <v/>
      </c>
      <c r="M121" s="4" t="n">
        <v>111</v>
      </c>
      <c r="N121" s="44">
        <f>(ROUND((M121-0.5)/233*809+0.5,0)-0.5)/809*Calculator!$AD$2</f>
        <v/>
      </c>
      <c r="O121" s="50" t="n">
        <v>116</v>
      </c>
      <c r="P121" s="50">
        <f>IF(ISERROR(VLOOKUP(O121,Key!$A$2:$B$982,2,FALSE)),"",VLOOKUP(O121,Key!$A$2:$B$982,2,FALSE))</f>
        <v/>
      </c>
    </row>
    <row r="122" ht="15.75" customHeight="1" s="71">
      <c r="A122" s="4" t="n"/>
      <c r="B122" s="44" t="n"/>
      <c r="C122" s="50" t="inlineStr"/>
      <c r="D122" s="50">
        <f>IF(ISERROR(VLOOKUP(C122,Key!$A$2:$B$982,2,FALSE)),"",VLOOKUP(C122,Key!$A$2:$B$982,2,FALSE))</f>
        <v/>
      </c>
      <c r="E122" s="4" t="n"/>
      <c r="F122" s="44" t="n"/>
      <c r="G122" s="50" t="inlineStr"/>
      <c r="H122" s="50">
        <f>IF(ISERROR(VLOOKUP(G122,Key!$A$2:$B$982,2,FALSE)),"",VLOOKUP(G122,Key!$A$2:$B$982,2,FALSE))</f>
        <v/>
      </c>
      <c r="I122" s="4" t="n"/>
      <c r="J122" s="44" t="n"/>
      <c r="K122" s="50" t="inlineStr"/>
      <c r="L122" s="50">
        <f>IF(ISERROR(VLOOKUP(K122,Key!$A$2:$B$982,2,FALSE)),"",VLOOKUP(K122,Key!$A$2:$B$982,2,FALSE))</f>
        <v/>
      </c>
      <c r="M122" s="4" t="n">
        <v>112</v>
      </c>
      <c r="N122" s="44">
        <f>(ROUND((M122-0.5)/233*809+0.5,0)-0.5)/809*Calculator!$AD$2</f>
        <v/>
      </c>
      <c r="O122" s="50" t="n">
        <v>117</v>
      </c>
      <c r="P122" s="50">
        <f>IF(ISERROR(VLOOKUP(O122,Key!$A$2:$B$982,2,FALSE)),"",VLOOKUP(O122,Key!$A$2:$B$982,2,FALSE))</f>
        <v/>
      </c>
    </row>
    <row r="123" ht="15.75" customHeight="1" s="71">
      <c r="A123" s="4" t="n"/>
      <c r="B123" s="44" t="n"/>
      <c r="C123" s="50" t="inlineStr"/>
      <c r="D123" s="50">
        <f>IF(ISERROR(VLOOKUP(C123,Key!$A$2:$B$982,2,FALSE)),"",VLOOKUP(C123,Key!$A$2:$B$982,2,FALSE))</f>
        <v/>
      </c>
      <c r="E123" s="4" t="n"/>
      <c r="F123" s="44" t="n"/>
      <c r="G123" s="50" t="inlineStr"/>
      <c r="H123" s="50">
        <f>IF(ISERROR(VLOOKUP(G123,Key!$A$2:$B$982,2,FALSE)),"",VLOOKUP(G123,Key!$A$2:$B$982,2,FALSE))</f>
        <v/>
      </c>
      <c r="I123" s="4" t="n"/>
      <c r="J123" s="44" t="n"/>
      <c r="K123" s="50" t="inlineStr"/>
      <c r="L123" s="50">
        <f>IF(ISERROR(VLOOKUP(K123,Key!$A$2:$B$982,2,FALSE)),"",VLOOKUP(K123,Key!$A$2:$B$982,2,FALSE))</f>
        <v/>
      </c>
      <c r="M123" s="46" t="n">
        <v>113</v>
      </c>
      <c r="N123" s="47">
        <f>(ROUND((M123-0.5)/233*809+0.5,0)-0.5)/809*Calculator!$AD$2</f>
        <v/>
      </c>
      <c r="O123" s="50" t="n">
        <v>118</v>
      </c>
      <c r="P123" s="50">
        <f>IF(ISERROR(VLOOKUP(O123,Key!$A$2:$B$982,2,FALSE)),"",VLOOKUP(O123,Key!$A$2:$B$982,2,FALSE))</f>
        <v/>
      </c>
    </row>
    <row r="124" ht="15.75" customHeight="1" s="71">
      <c r="A124" s="4" t="n"/>
      <c r="B124" s="44" t="n"/>
      <c r="C124" s="50" t="inlineStr"/>
      <c r="D124" s="50">
        <f>IF(ISERROR(VLOOKUP(C124,Key!$A$2:$B$982,2,FALSE)),"",VLOOKUP(C124,Key!$A$2:$B$982,2,FALSE))</f>
        <v/>
      </c>
      <c r="E124" s="4" t="n"/>
      <c r="F124" s="44" t="n"/>
      <c r="G124" s="50" t="inlineStr"/>
      <c r="H124" s="50">
        <f>IF(ISERROR(VLOOKUP(G124,Key!$A$2:$B$982,2,FALSE)),"",VLOOKUP(G124,Key!$A$2:$B$982,2,FALSE))</f>
        <v/>
      </c>
      <c r="I124" s="4" t="n">
        <v>28.6</v>
      </c>
      <c r="J124" s="44" t="n">
        <v>55.09554577691399</v>
      </c>
      <c r="K124" s="50" t="n">
        <v>119</v>
      </c>
      <c r="L124" s="50">
        <f>IF(ISERROR(VLOOKUP(K124,Key!$A$2:$B$982,2,FALSE)),"",VLOOKUP(K124,Key!$A$2:$B$982,2,FALSE))</f>
        <v/>
      </c>
      <c r="M124" s="48">
        <f>M123+(N124-N123)/P$3</f>
        <v/>
      </c>
      <c r="N124" s="49">
        <f>(Commas!E120+Commas!E121)/2</f>
        <v/>
      </c>
      <c r="O124" s="50" t="n">
        <v>119</v>
      </c>
      <c r="P124" s="50">
        <f>IF(ISERROR(VLOOKUP(O124,Key!$A$2:$B$982,2,FALSE)),"",VLOOKUP(O124,Key!$A$2:$B$982,2,FALSE))</f>
        <v/>
      </c>
    </row>
    <row r="125" ht="15.75" customHeight="1" s="71">
      <c r="A125" s="4" t="n"/>
      <c r="B125" s="44" t="n"/>
      <c r="C125" s="50" t="inlineStr"/>
      <c r="D125" s="50">
        <f>IF(ISERROR(VLOOKUP(C125,Key!$A$2:$B$982,2,FALSE)),"",VLOOKUP(C125,Key!$A$2:$B$982,2,FALSE))</f>
        <v/>
      </c>
      <c r="E125" s="4" t="n"/>
      <c r="F125" s="44" t="n"/>
      <c r="G125" s="50" t="inlineStr"/>
      <c r="H125" s="50">
        <f>IF(ISERROR(VLOOKUP(G125,Key!$A$2:$B$982,2,FALSE)),"",VLOOKUP(G125,Key!$A$2:$B$982,2,FALSE))</f>
        <v/>
      </c>
      <c r="I125" s="4" t="n"/>
      <c r="J125" s="44" t="n"/>
      <c r="K125" s="50" t="inlineStr"/>
      <c r="L125" s="50">
        <f>IF(ISERROR(VLOOKUP(K125,Key!$A$2:$B$982,2,FALSE)),"",VLOOKUP(K125,Key!$A$2:$B$982,2,FALSE))</f>
        <v/>
      </c>
      <c r="M125" s="4" t="n">
        <v>114</v>
      </c>
      <c r="N125" s="44">
        <f>(ROUND((M125-0.5)/233*809+0.5,0)-0.5)/809*Calculator!$AD$2</f>
        <v/>
      </c>
      <c r="O125" s="50" t="n">
        <v>120</v>
      </c>
      <c r="P125" s="50">
        <f>IF(ISERROR(VLOOKUP(O125,Key!$A$2:$B$982,2,FALSE)),"",VLOOKUP(O125,Key!$A$2:$B$982,2,FALSE))</f>
        <v/>
      </c>
    </row>
    <row r="126" ht="15.75" customHeight="1" s="71">
      <c r="A126" s="4" t="n"/>
      <c r="B126" s="44" t="n"/>
      <c r="C126" s="50" t="inlineStr"/>
      <c r="D126" s="50">
        <f>IF(ISERROR(VLOOKUP(C126,Key!$A$2:$B$982,2,FALSE)),"",VLOOKUP(C126,Key!$A$2:$B$982,2,FALSE))</f>
        <v/>
      </c>
      <c r="E126" s="4" t="n">
        <v>23.5</v>
      </c>
      <c r="F126" s="44" t="n">
        <v>55.8588255969598</v>
      </c>
      <c r="G126" s="50" t="n">
        <v>122</v>
      </c>
      <c r="H126" s="50">
        <f>IF(ISERROR(VLOOKUP(G126,Key!$A$2:$B$982,2,FALSE)),"",VLOOKUP(G126,Key!$A$2:$B$982,2,FALSE))</f>
        <v/>
      </c>
      <c r="I126" s="4" t="n">
        <v>29</v>
      </c>
      <c r="J126" s="44" t="n">
        <v>55.8588255969598</v>
      </c>
      <c r="K126" s="50" t="n">
        <v>122</v>
      </c>
      <c r="L126" s="50">
        <f>IF(ISERROR(VLOOKUP(K126,Key!$A$2:$B$982,2,FALSE)),"",VLOOKUP(K126,Key!$A$2:$B$982,2,FALSE))</f>
        <v/>
      </c>
      <c r="M126" s="4" t="n">
        <v>115</v>
      </c>
      <c r="N126" s="44">
        <f>(ROUND((M126-0.5)/233*809+0.5,0)-0.5)/809*Calculator!$AD$2</f>
        <v/>
      </c>
      <c r="O126" s="50" t="n">
        <v>121</v>
      </c>
      <c r="P126" s="50">
        <f>IF(ISERROR(VLOOKUP(O126,Key!$A$2:$B$982,2,FALSE)),"",VLOOKUP(O126,Key!$A$2:$B$982,2,FALSE))</f>
        <v/>
      </c>
    </row>
    <row r="127" ht="15.75" customHeight="1" s="71">
      <c r="A127" s="52" t="n"/>
      <c r="B127" s="56" t="n"/>
      <c r="C127" s="55" t="inlineStr"/>
      <c r="D127" s="55">
        <f>IF(ISERROR(VLOOKUP(C127,Key!$A$2:$B$982,2,FALSE)),"",VLOOKUP(C127,Key!$A$2:$B$982,2,FALSE))</f>
        <v/>
      </c>
      <c r="E127" s="52" t="n"/>
      <c r="F127" s="56" t="n"/>
      <c r="G127" s="55" t="inlineStr"/>
      <c r="H127" s="55">
        <f>IF(ISERROR(VLOOKUP(G127,Key!$A$2:$B$982,2,FALSE)),"",VLOOKUP(G127,Key!$A$2:$B$982,2,FALSE))</f>
        <v/>
      </c>
      <c r="I127" s="52" t="n"/>
      <c r="J127" s="56" t="n"/>
      <c r="K127" s="55" t="inlineStr"/>
      <c r="L127" s="55">
        <f>IF(ISERROR(VLOOKUP(K127,Key!$A$2:$B$982,2,FALSE)),"",VLOOKUP(K127,Key!$A$2:$B$982,2,FALSE))</f>
        <v/>
      </c>
      <c r="M127" s="52" t="n">
        <v>116</v>
      </c>
      <c r="N127" s="56">
        <f>(ROUND((M127-0.5)/233*809+0.5,0)-0.5)/809*Calculator!$AD$2</f>
        <v/>
      </c>
      <c r="O127" s="55" t="n">
        <v>122</v>
      </c>
      <c r="P127" s="55">
        <f>IF(ISERROR(VLOOKUP(O127,Key!$A$2:$B$982,2,FALSE)),"",VLOOKUP(O127,Key!$A$2:$B$982,2,FALSE))</f>
        <v/>
      </c>
    </row>
    <row r="128" ht="15.75" customHeight="1" s="71">
      <c r="A128" s="52" t="n">
        <v>11</v>
      </c>
      <c r="B128" s="56" t="n">
        <v>56.842503028856</v>
      </c>
      <c r="C128" s="55" t="n">
        <v>131</v>
      </c>
      <c r="D128" s="55">
        <f>IF(ISERROR(VLOOKUP(C128,Key!$A$2:$B$982,2,FALSE)),"",VLOOKUP(C128,Key!$A$2:$B$982,2,FALSE))</f>
        <v/>
      </c>
      <c r="E128" s="52" t="n"/>
      <c r="F128" s="56" t="n"/>
      <c r="G128" s="55" t="inlineStr"/>
      <c r="H128" s="55">
        <f>IF(ISERROR(VLOOKUP(G128,Key!$A$2:$B$982,2,FALSE)),"",VLOOKUP(G128,Key!$A$2:$B$982,2,FALSE))</f>
        <v/>
      </c>
      <c r="I128" s="52" t="n"/>
      <c r="J128" s="56" t="n"/>
      <c r="K128" s="55" t="inlineStr"/>
      <c r="L128" s="55">
        <f>IF(ISERROR(VLOOKUP(K128,Key!$A$2:$B$982,2,FALSE)),"",VLOOKUP(K128,Key!$A$2:$B$982,2,FALSE))</f>
        <v/>
      </c>
      <c r="M128" s="52" t="n">
        <v>117</v>
      </c>
      <c r="N128" s="56">
        <f>(ROUND((M128-0.5)/233*809+0.5,0)-0.5)/809*Calculator!$AD$2</f>
        <v/>
      </c>
      <c r="O128" s="55" t="n">
        <v>123</v>
      </c>
      <c r="P128" s="55">
        <f>IF(ISERROR(VLOOKUP(O128,Key!$A$2:$B$982,2,FALSE)),"",VLOOKUP(O128,Key!$A$2:$B$982,2,FALSE))</f>
        <v/>
      </c>
    </row>
    <row r="129" ht="15.75" customHeight="1" s="71">
      <c r="A129" s="4" t="n"/>
      <c r="B129" s="44" t="n"/>
      <c r="C129" s="50" t="inlineStr"/>
      <c r="D129" s="50">
        <f>IF(ISERROR(VLOOKUP(C129,Key!$A$2:$B$982,2,FALSE)),"",VLOOKUP(C129,Key!$A$2:$B$982,2,FALSE))</f>
        <v/>
      </c>
      <c r="E129" s="4" t="n"/>
      <c r="F129" s="44" t="n"/>
      <c r="G129" s="50" t="inlineStr"/>
      <c r="H129" s="50">
        <f>IF(ISERROR(VLOOKUP(G129,Key!$A$2:$B$982,2,FALSE)),"",VLOOKUP(G129,Key!$A$2:$B$982,2,FALSE))</f>
        <v/>
      </c>
      <c r="I129" s="4" t="n"/>
      <c r="J129" s="44" t="n"/>
      <c r="K129" s="50" t="inlineStr"/>
      <c r="L129" s="50">
        <f>IF(ISERROR(VLOOKUP(K129,Key!$A$2:$B$982,2,FALSE)),"",VLOOKUP(K129,Key!$A$2:$B$982,2,FALSE))</f>
        <v/>
      </c>
      <c r="M129" s="4" t="n">
        <v>118</v>
      </c>
      <c r="N129" s="44">
        <f>(ROUND((M129-0.5)/233*809+0.5,0)-0.5)/809*Calculator!$AD$2</f>
        <v/>
      </c>
      <c r="O129" s="50" t="n">
        <v>124</v>
      </c>
      <c r="P129" s="50">
        <f>IF(ISERROR(VLOOKUP(O129,Key!$A$2:$B$982,2,FALSE)),"",VLOOKUP(O129,Key!$A$2:$B$982,2,FALSE))</f>
        <v/>
      </c>
    </row>
    <row r="130" ht="15.75" customHeight="1" s="71">
      <c r="A130" s="4" t="n"/>
      <c r="B130" s="44" t="n"/>
      <c r="C130" s="50" t="inlineStr"/>
      <c r="D130" s="50">
        <f>IF(ISERROR(VLOOKUP(C130,Key!$A$2:$B$982,2,FALSE)),"",VLOOKUP(C130,Key!$A$2:$B$982,2,FALSE))</f>
        <v/>
      </c>
      <c r="E130" s="4" t="n">
        <v>24</v>
      </c>
      <c r="F130" s="44" t="n">
        <v>57.8261804607521</v>
      </c>
      <c r="G130" s="50" t="n">
        <v>128</v>
      </c>
      <c r="H130" s="50">
        <f>IF(ISERROR(VLOOKUP(G130,Key!$A$2:$B$982,2,FALSE)),"",VLOOKUP(G130,Key!$A$2:$B$982,2,FALSE))</f>
        <v/>
      </c>
      <c r="I130" s="4" t="n">
        <v>30</v>
      </c>
      <c r="J130" s="44" t="n">
        <v>57.8261804607521</v>
      </c>
      <c r="K130" s="50" t="n">
        <v>126</v>
      </c>
      <c r="L130" s="50">
        <f>IF(ISERROR(VLOOKUP(K130,Key!$A$2:$B$982,2,FALSE)),"",VLOOKUP(K130,Key!$A$2:$B$982,2,FALSE))</f>
        <v/>
      </c>
      <c r="M130" s="4" t="n">
        <v>119</v>
      </c>
      <c r="N130" s="44">
        <f>(ROUND((M130-0.5)/233*809+0.5,0)-0.5)/809*Calculator!$AD$2</f>
        <v/>
      </c>
      <c r="O130" s="50" t="n">
        <v>125</v>
      </c>
      <c r="P130" s="50">
        <f>IF(ISERROR(VLOOKUP(O130,Key!$A$2:$B$982,2,FALSE)),"",VLOOKUP(O130,Key!$A$2:$B$982,2,FALSE))</f>
        <v/>
      </c>
    </row>
    <row r="131" ht="15.75" customHeight="1" s="71">
      <c r="A131" s="4" t="n"/>
      <c r="B131" s="44" t="n"/>
      <c r="C131" s="50" t="inlineStr"/>
      <c r="D131" s="50">
        <f>IF(ISERROR(VLOOKUP(C131,Key!$A$2:$B$982,2,FALSE)),"",VLOOKUP(C131,Key!$A$2:$B$982,2,FALSE))</f>
        <v/>
      </c>
      <c r="E131" s="4" t="n"/>
      <c r="F131" s="44" t="n"/>
      <c r="G131" s="50" t="inlineStr"/>
      <c r="H131" s="50">
        <f>IF(ISERROR(VLOOKUP(G131,Key!$A$2:$B$982,2,FALSE)),"",VLOOKUP(G131,Key!$A$2:$B$982,2,FALSE))</f>
        <v/>
      </c>
      <c r="I131" s="4" t="n"/>
      <c r="J131" s="44" t="n"/>
      <c r="K131" s="50" t="inlineStr"/>
      <c r="L131" s="50">
        <f>IF(ISERROR(VLOOKUP(K131,Key!$A$2:$B$982,2,FALSE)),"",VLOOKUP(K131,Key!$A$2:$B$982,2,FALSE))</f>
        <v/>
      </c>
      <c r="M131" s="46" t="n">
        <v>120</v>
      </c>
      <c r="N131" s="47">
        <f>(ROUND((M131-0.5)/233*809+0.5,0)-0.5)/809*Calculator!$AD$2</f>
        <v/>
      </c>
      <c r="O131" s="50" t="n">
        <v>126</v>
      </c>
      <c r="P131" s="50">
        <f>IF(ISERROR(VLOOKUP(O131,Key!$A$2:$B$982,2,FALSE)),"",VLOOKUP(O131,Key!$A$2:$B$982,2,FALSE))</f>
        <v/>
      </c>
    </row>
    <row r="132" ht="15.75" customHeight="1" s="71">
      <c r="A132" s="4" t="n"/>
      <c r="B132" s="44" t="n"/>
      <c r="C132" s="50" t="inlineStr"/>
      <c r="D132" s="50">
        <f>IF(ISERROR(VLOOKUP(C132,Key!$A$2:$B$982,2,FALSE)),"",VLOOKUP(C132,Key!$A$2:$B$982,2,FALSE))</f>
        <v/>
      </c>
      <c r="E132" s="4" t="n"/>
      <c r="F132" s="44" t="n"/>
      <c r="G132" s="50" t="inlineStr"/>
      <c r="H132" s="50">
        <f>IF(ISERROR(VLOOKUP(G132,Key!$A$2:$B$982,2,FALSE)),"",VLOOKUP(G132,Key!$A$2:$B$982,2,FALSE))</f>
        <v/>
      </c>
      <c r="I132" s="4" t="n">
        <v>30.4</v>
      </c>
      <c r="J132" s="44" t="n">
        <v>58.58946028079791</v>
      </c>
      <c r="K132" s="50" t="n">
        <v>128</v>
      </c>
      <c r="L132" s="50">
        <f>IF(ISERROR(VLOOKUP(K132,Key!$A$2:$B$982,2,FALSE)),"",VLOOKUP(K132,Key!$A$2:$B$982,2,FALSE))</f>
        <v/>
      </c>
      <c r="M132" s="48">
        <f>M131+(N132-N131)/P$3</f>
        <v/>
      </c>
      <c r="N132" s="49">
        <f>(Commas!E128+Commas!E129)/2</f>
        <v/>
      </c>
      <c r="O132" s="50" t="n">
        <v>127</v>
      </c>
      <c r="P132" s="50">
        <f>IF(ISERROR(VLOOKUP(O132,Key!$A$2:$B$982,2,FALSE)),"",VLOOKUP(O132,Key!$A$2:$B$982,2,FALSE))</f>
        <v/>
      </c>
    </row>
    <row r="133" ht="15.75" customHeight="1" s="71">
      <c r="A133" s="4" t="n"/>
      <c r="B133" s="44" t="n"/>
      <c r="C133" s="50" t="inlineStr"/>
      <c r="D133" s="50">
        <f>IF(ISERROR(VLOOKUP(C133,Key!$A$2:$B$982,2,FALSE)),"",VLOOKUP(C133,Key!$A$2:$B$982,2,FALSE))</f>
        <v/>
      </c>
      <c r="E133" s="4" t="n"/>
      <c r="F133" s="44" t="n"/>
      <c r="G133" s="50" t="inlineStr"/>
      <c r="H133" s="50">
        <f>IF(ISERROR(VLOOKUP(G133,Key!$A$2:$B$982,2,FALSE)),"",VLOOKUP(G133,Key!$A$2:$B$982,2,FALSE))</f>
        <v/>
      </c>
      <c r="I133" s="4" t="n"/>
      <c r="J133" s="44" t="n"/>
      <c r="K133" s="50" t="inlineStr"/>
      <c r="L133" s="50">
        <f>IF(ISERROR(VLOOKUP(K133,Key!$A$2:$B$982,2,FALSE)),"",VLOOKUP(K133,Key!$A$2:$B$982,2,FALSE))</f>
        <v/>
      </c>
      <c r="M133" s="4" t="n">
        <v>121</v>
      </c>
      <c r="N133" s="44">
        <f>(ROUND((M133-0.5)/233*809+0.5,0)-0.5)/809*Calculator!$AD$2</f>
        <v/>
      </c>
      <c r="O133" s="50" t="n">
        <v>128</v>
      </c>
      <c r="P133" s="50">
        <f>IF(ISERROR(VLOOKUP(O133,Key!$A$2:$B$982,2,FALSE)),"",VLOOKUP(O133,Key!$A$2:$B$982,2,FALSE))</f>
        <v/>
      </c>
    </row>
    <row r="134" ht="15.75" customHeight="1" s="71">
      <c r="A134" s="4" t="n"/>
      <c r="B134" s="44" t="n"/>
      <c r="C134" s="50" t="inlineStr"/>
      <c r="D134" s="50">
        <f>IF(ISERROR(VLOOKUP(C134,Key!$A$2:$B$982,2,FALSE)),"",VLOOKUP(C134,Key!$A$2:$B$982,2,FALSE))</f>
        <v/>
      </c>
      <c r="E134" s="4" t="n"/>
      <c r="F134" s="44" t="n"/>
      <c r="G134" s="50" t="inlineStr"/>
      <c r="H134" s="50">
        <f>IF(ISERROR(VLOOKUP(G134,Key!$A$2:$B$982,2,FALSE)),"",VLOOKUP(G134,Key!$A$2:$B$982,2,FALSE))</f>
        <v/>
      </c>
      <c r="I134" s="4" t="n"/>
      <c r="J134" s="44" t="n"/>
      <c r="K134" s="50" t="inlineStr"/>
      <c r="L134" s="50">
        <f>IF(ISERROR(VLOOKUP(K134,Key!$A$2:$B$982,2,FALSE)),"",VLOOKUP(K134,Key!$A$2:$B$982,2,FALSE))</f>
        <v/>
      </c>
      <c r="M134" s="4" t="n">
        <v>122</v>
      </c>
      <c r="N134" s="44">
        <f>(ROUND((M134-0.5)/233*809+0.5,0)-0.5)/809*Calculator!$AD$2</f>
        <v/>
      </c>
      <c r="O134" s="50" t="n">
        <v>129</v>
      </c>
      <c r="P134" s="50">
        <f>IF(ISERROR(VLOOKUP(O134,Key!$A$2:$B$982,2,FALSE)),"",VLOOKUP(O134,Key!$A$2:$B$982,2,FALSE))</f>
        <v/>
      </c>
    </row>
    <row r="135" ht="15.75" customHeight="1" s="71">
      <c r="A135" s="4" t="n"/>
      <c r="B135" s="44" t="n"/>
      <c r="C135" s="50" t="inlineStr"/>
      <c r="D135" s="50">
        <f>IF(ISERROR(VLOOKUP(C135,Key!$A$2:$B$982,2,FALSE)),"",VLOOKUP(C135,Key!$A$2:$B$982,2,FALSE))</f>
        <v/>
      </c>
      <c r="E135" s="4" t="n">
        <v>25</v>
      </c>
      <c r="F135" s="44" t="n">
        <v>59.7935353245444</v>
      </c>
      <c r="G135" s="50" t="n">
        <v>131</v>
      </c>
      <c r="H135" s="50">
        <f>IF(ISERROR(VLOOKUP(G135,Key!$A$2:$B$982,2,FALSE)),"",VLOOKUP(G135,Key!$A$2:$B$982,2,FALSE))</f>
        <v/>
      </c>
      <c r="I135" s="4" t="n">
        <v>31</v>
      </c>
      <c r="J135" s="44" t="n">
        <v>59.7935353245444</v>
      </c>
      <c r="K135" s="50" t="n">
        <v>131</v>
      </c>
      <c r="L135" s="50">
        <f>IF(ISERROR(VLOOKUP(K135,Key!$A$2:$B$982,2,FALSE)),"",VLOOKUP(K135,Key!$A$2:$B$982,2,FALSE))</f>
        <v/>
      </c>
      <c r="M135" s="4" t="n">
        <v>123</v>
      </c>
      <c r="N135" s="44">
        <f>(ROUND((M135-0.5)/233*809+0.5,0)-0.5)/809*Calculator!$AD$2</f>
        <v/>
      </c>
      <c r="O135" s="50" t="n">
        <v>130</v>
      </c>
      <c r="P135" s="50">
        <f>IF(ISERROR(VLOOKUP(O135,Key!$A$2:$B$982,2,FALSE)),"",VLOOKUP(O135,Key!$A$2:$B$982,2,FALSE))</f>
        <v/>
      </c>
    </row>
    <row r="136" ht="15.75" customHeight="1" s="71">
      <c r="A136" s="4" t="n"/>
      <c r="B136" s="44" t="n"/>
      <c r="C136" s="50" t="inlineStr"/>
      <c r="D136" s="50">
        <f>IF(ISERROR(VLOOKUP(C136,Key!$A$2:$B$982,2,FALSE)),"",VLOOKUP(C136,Key!$A$2:$B$982,2,FALSE))</f>
        <v/>
      </c>
      <c r="E136" s="4" t="n"/>
      <c r="F136" s="44" t="n"/>
      <c r="G136" s="50" t="inlineStr"/>
      <c r="H136" s="50">
        <f>IF(ISERROR(VLOOKUP(G136,Key!$A$2:$B$982,2,FALSE)),"",VLOOKUP(G136,Key!$A$2:$B$982,2,FALSE))</f>
        <v/>
      </c>
      <c r="I136" s="4" t="n"/>
      <c r="J136" s="44" t="n"/>
      <c r="K136" s="50" t="inlineStr"/>
      <c r="L136" s="50">
        <f>IF(ISERROR(VLOOKUP(K136,Key!$A$2:$B$982,2,FALSE)),"",VLOOKUP(K136,Key!$A$2:$B$982,2,FALSE))</f>
        <v/>
      </c>
      <c r="M136" s="4" t="n">
        <v>124</v>
      </c>
      <c r="N136" s="44">
        <f>(ROUND((M136-0.5)/233*809+0.5,0)-0.5)/809*Calculator!$AD$2</f>
        <v/>
      </c>
      <c r="O136" s="50" t="n">
        <v>131</v>
      </c>
      <c r="P136" s="50">
        <f>IF(ISERROR(VLOOKUP(O136,Key!$A$2:$B$982,2,FALSE)),"",VLOOKUP(O136,Key!$A$2:$B$982,2,FALSE))</f>
        <v/>
      </c>
    </row>
    <row r="137" ht="15.75" customHeight="1" s="71">
      <c r="A137" s="4" t="n"/>
      <c r="B137" s="44" t="n"/>
      <c r="C137" s="50" t="inlineStr"/>
      <c r="D137" s="50">
        <f>IF(ISERROR(VLOOKUP(C137,Key!$A$2:$B$982,2,FALSE)),"",VLOOKUP(C137,Key!$A$2:$B$982,2,FALSE))</f>
        <v/>
      </c>
      <c r="E137" s="4" t="n"/>
      <c r="F137" s="44" t="n"/>
      <c r="G137" s="50" t="inlineStr"/>
      <c r="H137" s="50">
        <f>IF(ISERROR(VLOOKUP(G137,Key!$A$2:$B$982,2,FALSE)),"",VLOOKUP(G137,Key!$A$2:$B$982,2,FALSE))</f>
        <v/>
      </c>
      <c r="I137" s="4" t="n"/>
      <c r="J137" s="44" t="n"/>
      <c r="K137" s="50" t="inlineStr"/>
      <c r="L137" s="50">
        <f>IF(ISERROR(VLOOKUP(K137,Key!$A$2:$B$982,2,FALSE)),"",VLOOKUP(K137,Key!$A$2:$B$982,2,FALSE))</f>
        <v/>
      </c>
      <c r="M137" s="4" t="n">
        <v>125</v>
      </c>
      <c r="N137" s="44">
        <f>(ROUND((M137-0.5)/233*809+0.5,0)-0.5)/809*Calculator!$AD$2</f>
        <v/>
      </c>
      <c r="O137" s="50" t="n">
        <v>132</v>
      </c>
      <c r="P137" s="50">
        <f>IF(ISERROR(VLOOKUP(O137,Key!$A$2:$B$982,2,FALSE)),"",VLOOKUP(O137,Key!$A$2:$B$982,2,FALSE))</f>
        <v/>
      </c>
    </row>
    <row r="138" ht="15.75" customHeight="1" s="71">
      <c r="A138" s="4" t="n"/>
      <c r="B138" s="44" t="n"/>
      <c r="C138" s="50" t="inlineStr"/>
      <c r="D138" s="50">
        <f>IF(ISERROR(VLOOKUP(C138,Key!$A$2:$B$982,2,FALSE)),"",VLOOKUP(C138,Key!$A$2:$B$982,2,FALSE))</f>
        <v/>
      </c>
      <c r="E138" s="4" t="n"/>
      <c r="F138" s="44" t="n"/>
      <c r="G138" s="50" t="inlineStr"/>
      <c r="H138" s="50">
        <f>IF(ISERROR(VLOOKUP(G138,Key!$A$2:$B$982,2,FALSE)),"",VLOOKUP(G138,Key!$A$2:$B$982,2,FALSE))</f>
        <v/>
      </c>
      <c r="I138" s="4" t="n"/>
      <c r="J138" s="44" t="n"/>
      <c r="K138" s="50" t="inlineStr"/>
      <c r="L138" s="50">
        <f>IF(ISERROR(VLOOKUP(K138,Key!$A$2:$B$982,2,FALSE)),"",VLOOKUP(K138,Key!$A$2:$B$982,2,FALSE))</f>
        <v/>
      </c>
      <c r="M138" s="4" t="n">
        <v>126</v>
      </c>
      <c r="N138" s="44">
        <f>(ROUND((M138-0.5)/233*809+0.5,0)-0.5)/809*Calculator!$AD$2</f>
        <v/>
      </c>
      <c r="O138" s="50" t="n">
        <v>133</v>
      </c>
      <c r="P138" s="50">
        <f>IF(ISERROR(VLOOKUP(O138,Key!$A$2:$B$982,2,FALSE)),"",VLOOKUP(O138,Key!$A$2:$B$982,2,FALSE))</f>
        <v/>
      </c>
    </row>
    <row r="139" ht="15.75" customHeight="1" s="71">
      <c r="A139" s="4" t="n"/>
      <c r="B139" s="44" t="n"/>
      <c r="C139" s="50" t="inlineStr"/>
      <c r="D139" s="50">
        <f>IF(ISERROR(VLOOKUP(C139,Key!$A$2:$B$982,2,FALSE)),"",VLOOKUP(C139,Key!$A$2:$B$982,2,FALSE))</f>
        <v/>
      </c>
      <c r="E139" s="4" t="n">
        <v>26</v>
      </c>
      <c r="F139" s="44" t="n">
        <v>61.7608901883367</v>
      </c>
      <c r="G139" s="50" t="n">
        <v>139</v>
      </c>
      <c r="H139" s="50">
        <f>IF(ISERROR(VLOOKUP(G139,Key!$A$2:$B$982,2,FALSE)),"",VLOOKUP(G139,Key!$A$2:$B$982,2,FALSE))</f>
        <v/>
      </c>
      <c r="I139" s="4" t="n">
        <v>32</v>
      </c>
      <c r="J139" s="44" t="n">
        <v>61.7608901883367</v>
      </c>
      <c r="K139" s="50" t="n">
        <v>135</v>
      </c>
      <c r="L139" s="50">
        <f>IF(ISERROR(VLOOKUP(K139,Key!$A$2:$B$982,2,FALSE)),"",VLOOKUP(K139,Key!$A$2:$B$982,2,FALSE))</f>
        <v/>
      </c>
      <c r="M139" s="4" t="n">
        <v>127</v>
      </c>
      <c r="N139" s="44">
        <f>(ROUND((M139-0.5)/233*809+0.5,0)-0.5)/809*Calculator!$AD$2</f>
        <v/>
      </c>
      <c r="O139" s="50" t="n">
        <v>134</v>
      </c>
      <c r="P139" s="50">
        <f>IF(ISERROR(VLOOKUP(O139,Key!$A$2:$B$982,2,FALSE)),"",VLOOKUP(O139,Key!$A$2:$B$982,2,FALSE))</f>
        <v/>
      </c>
    </row>
    <row r="140" ht="15.75" customHeight="1" s="71">
      <c r="A140" s="4" t="n"/>
      <c r="B140" s="44" t="n"/>
      <c r="C140" s="50" t="inlineStr"/>
      <c r="D140" s="50">
        <f>IF(ISERROR(VLOOKUP(C140,Key!$A$2:$B$982,2,FALSE)),"",VLOOKUP(C140,Key!$A$2:$B$982,2,FALSE))</f>
        <v/>
      </c>
      <c r="E140" s="4" t="n"/>
      <c r="F140" s="44" t="n"/>
      <c r="G140" s="50" t="inlineStr"/>
      <c r="H140" s="50">
        <f>IF(ISERROR(VLOOKUP(G140,Key!$A$2:$B$982,2,FALSE)),"",VLOOKUP(G140,Key!$A$2:$B$982,2,FALSE))</f>
        <v/>
      </c>
      <c r="I140" s="4" t="n"/>
      <c r="J140" s="44" t="n"/>
      <c r="K140" s="50" t="inlineStr"/>
      <c r="L140" s="50">
        <f>IF(ISERROR(VLOOKUP(K140,Key!$A$2:$B$982,2,FALSE)),"",VLOOKUP(K140,Key!$A$2:$B$982,2,FALSE))</f>
        <v/>
      </c>
      <c r="M140" s="46" t="n">
        <v>128</v>
      </c>
      <c r="N140" s="47">
        <f>(ROUND((M140-0.5)/233*809+0.5,0)-0.5)/809*Calculator!$AD$2</f>
        <v/>
      </c>
      <c r="O140" s="50" t="n">
        <v>135</v>
      </c>
      <c r="P140" s="50">
        <f>IF(ISERROR(VLOOKUP(O140,Key!$A$2:$B$982,2,FALSE)),"",VLOOKUP(O140,Key!$A$2:$B$982,2,FALSE))</f>
        <v/>
      </c>
    </row>
    <row r="141" ht="15.75" customHeight="1" s="71">
      <c r="A141" s="4" t="n">
        <v>12</v>
      </c>
      <c r="B141" s="44" t="n">
        <v>62.46546580885619</v>
      </c>
      <c r="C141" s="50" t="n">
        <v>141</v>
      </c>
      <c r="D141" s="50">
        <f>IF(ISERROR(VLOOKUP(C141,Key!$A$2:$B$982,2,FALSE)),"",VLOOKUP(C141,Key!$A$2:$B$982,2,FALSE))</f>
        <v/>
      </c>
      <c r="E141" s="4" t="n"/>
      <c r="F141" s="44" t="n"/>
      <c r="G141" s="50" t="inlineStr"/>
      <c r="H141" s="50">
        <f>IF(ISERROR(VLOOKUP(G141,Key!$A$2:$B$982,2,FALSE)),"",VLOOKUP(G141,Key!$A$2:$B$982,2,FALSE))</f>
        <v/>
      </c>
      <c r="I141" s="4" t="n">
        <v>32.4</v>
      </c>
      <c r="J141" s="44" t="n">
        <v>62.46546580885619</v>
      </c>
      <c r="K141" s="50" t="n">
        <v>137</v>
      </c>
      <c r="L141" s="50">
        <f>IF(ISERROR(VLOOKUP(K141,Key!$A$2:$B$982,2,FALSE)),"",VLOOKUP(K141,Key!$A$2:$B$982,2,FALSE))</f>
        <v/>
      </c>
      <c r="M141" s="48">
        <f>M140+(N141-N140)/P$3</f>
        <v/>
      </c>
      <c r="N141" s="49">
        <f>(Commas!E137+Commas!E138)/2</f>
        <v/>
      </c>
      <c r="O141" s="50" t="n">
        <v>136</v>
      </c>
      <c r="P141" s="50">
        <f>IF(ISERROR(VLOOKUP(O141,Key!$A$2:$B$982,2,FALSE)),"",VLOOKUP(O141,Key!$A$2:$B$982,2,FALSE))</f>
        <v/>
      </c>
    </row>
    <row r="142" ht="15.75" customHeight="1" s="71">
      <c r="A142" s="4" t="n"/>
      <c r="B142" s="44" t="n"/>
      <c r="C142" s="50" t="inlineStr"/>
      <c r="D142" s="50">
        <f>IF(ISERROR(VLOOKUP(C142,Key!$A$2:$B$982,2,FALSE)),"",VLOOKUP(C142,Key!$A$2:$B$982,2,FALSE))</f>
        <v/>
      </c>
      <c r="E142" s="4" t="n"/>
      <c r="F142" s="44" t="n"/>
      <c r="G142" s="50" t="inlineStr"/>
      <c r="H142" s="50">
        <f>IF(ISERROR(VLOOKUP(G142,Key!$A$2:$B$982,2,FALSE)),"",VLOOKUP(G142,Key!$A$2:$B$982,2,FALSE))</f>
        <v/>
      </c>
      <c r="I142" s="4" t="n"/>
      <c r="J142" s="44" t="n"/>
      <c r="K142" s="50" t="inlineStr"/>
      <c r="L142" s="50">
        <f>IF(ISERROR(VLOOKUP(K142,Key!$A$2:$B$982,2,FALSE)),"",VLOOKUP(K142,Key!$A$2:$B$982,2,FALSE))</f>
        <v/>
      </c>
      <c r="M142" s="4" t="n">
        <v>129</v>
      </c>
      <c r="N142" s="44">
        <f>(ROUND((M142-0.5)/233*809+0.5,0)-0.5)/809*Calculator!$AD$2</f>
        <v/>
      </c>
      <c r="O142" s="50" t="n">
        <v>137</v>
      </c>
      <c r="P142" s="50">
        <f>IF(ISERROR(VLOOKUP(O142,Key!$A$2:$B$982,2,FALSE)),"",VLOOKUP(O142,Key!$A$2:$B$982,2,FALSE))</f>
        <v/>
      </c>
    </row>
    <row r="143" ht="15.75" customHeight="1" s="71">
      <c r="A143" s="4" t="n"/>
      <c r="B143" s="44" t="n"/>
      <c r="C143" s="50" t="inlineStr"/>
      <c r="D143" s="50">
        <f>IF(ISERROR(VLOOKUP(C143,Key!$A$2:$B$982,2,FALSE)),"",VLOOKUP(C143,Key!$A$2:$B$982,2,FALSE))</f>
        <v/>
      </c>
      <c r="E143" s="4" t="n"/>
      <c r="F143" s="44" t="n"/>
      <c r="G143" s="50" t="inlineStr"/>
      <c r="H143" s="50">
        <f>IF(ISERROR(VLOOKUP(G143,Key!$A$2:$B$982,2,FALSE)),"",VLOOKUP(G143,Key!$A$2:$B$982,2,FALSE))</f>
        <v/>
      </c>
      <c r="I143" s="4" t="n"/>
      <c r="J143" s="44" t="n"/>
      <c r="K143" s="50" t="inlineStr"/>
      <c r="L143" s="50">
        <f>IF(ISERROR(VLOOKUP(K143,Key!$A$2:$B$982,2,FALSE)),"",VLOOKUP(K143,Key!$A$2:$B$982,2,FALSE))</f>
        <v/>
      </c>
      <c r="M143" s="4" t="n">
        <v>130</v>
      </c>
      <c r="N143" s="44">
        <f>(ROUND((M143-0.5)/233*809+0.5,0)-0.5)/809*Calculator!$AD$2</f>
        <v/>
      </c>
      <c r="O143" s="50" t="n">
        <v>138</v>
      </c>
      <c r="P143" s="50">
        <f>IF(ISERROR(VLOOKUP(O143,Key!$A$2:$B$982,2,FALSE)),"",VLOOKUP(O143,Key!$A$2:$B$982,2,FALSE))</f>
        <v/>
      </c>
    </row>
    <row r="144" ht="15.75" customHeight="1" s="71">
      <c r="A144" s="4" t="n"/>
      <c r="B144" s="44" t="n"/>
      <c r="C144" s="50" t="inlineStr"/>
      <c r="D144" s="50">
        <f>IF(ISERROR(VLOOKUP(C144,Key!$A$2:$B$982,2,FALSE)),"",VLOOKUP(C144,Key!$A$2:$B$982,2,FALSE))</f>
        <v/>
      </c>
      <c r="E144" s="4" t="n"/>
      <c r="F144" s="44" t="n"/>
      <c r="G144" s="50" t="inlineStr"/>
      <c r="H144" s="50">
        <f>IF(ISERROR(VLOOKUP(G144,Key!$A$2:$B$982,2,FALSE)),"",VLOOKUP(G144,Key!$A$2:$B$982,2,FALSE))</f>
        <v/>
      </c>
      <c r="I144" s="4" t="n">
        <v>33</v>
      </c>
      <c r="J144" s="44" t="n">
        <v>63.728245052129</v>
      </c>
      <c r="K144" s="50" t="n">
        <v>139</v>
      </c>
      <c r="L144" s="50">
        <f>IF(ISERROR(VLOOKUP(K144,Key!$A$2:$B$982,2,FALSE)),"",VLOOKUP(K144,Key!$A$2:$B$982,2,FALSE))</f>
        <v/>
      </c>
      <c r="M144" s="4" t="n">
        <v>131</v>
      </c>
      <c r="N144" s="44">
        <f>(ROUND((M144-0.5)/233*809+0.5,0)-0.5)/809*Calculator!$AD$2</f>
        <v/>
      </c>
      <c r="O144" s="50" t="n">
        <v>139</v>
      </c>
      <c r="P144" s="50">
        <f>IF(ISERROR(VLOOKUP(O144,Key!$A$2:$B$982,2,FALSE)),"",VLOOKUP(O144,Key!$A$2:$B$982,2,FALSE))</f>
        <v/>
      </c>
    </row>
    <row r="145" ht="15.75" customHeight="1" s="71">
      <c r="A145" s="4" t="n"/>
      <c r="B145" s="44" t="n"/>
      <c r="C145" s="50" t="inlineStr"/>
      <c r="D145" s="50">
        <f>IF(ISERROR(VLOOKUP(C145,Key!$A$2:$B$982,2,FALSE)),"",VLOOKUP(C145,Key!$A$2:$B$982,2,FALSE))</f>
        <v/>
      </c>
      <c r="E145" s="4" t="n">
        <v>27</v>
      </c>
      <c r="F145" s="44" t="n">
        <v>64.1498210943702</v>
      </c>
      <c r="G145" s="50" t="n">
        <v>141</v>
      </c>
      <c r="H145" s="50">
        <f>IF(ISERROR(VLOOKUP(G145,Key!$A$2:$B$982,2,FALSE)),"",VLOOKUP(G145,Key!$A$2:$B$982,2,FALSE))</f>
        <v/>
      </c>
      <c r="I145" s="4" t="n">
        <v>33.2</v>
      </c>
      <c r="J145" s="44" t="n">
        <v>64.1498210943702</v>
      </c>
      <c r="K145" s="50" t="n">
        <v>141</v>
      </c>
      <c r="L145" s="50">
        <f>IF(ISERROR(VLOOKUP(K145,Key!$A$2:$B$982,2,FALSE)),"",VLOOKUP(K145,Key!$A$2:$B$982,2,FALSE))</f>
        <v/>
      </c>
      <c r="M145" s="4" t="n">
        <v>132</v>
      </c>
      <c r="N145" s="44">
        <f>(ROUND((M145-0.5)/233*809+0.5,0)-0.5)/809*Calculator!$AD$2</f>
        <v/>
      </c>
      <c r="O145" s="50" t="n">
        <v>140</v>
      </c>
      <c r="P145" s="50">
        <f>IF(ISERROR(VLOOKUP(O145,Key!$A$2:$B$982,2,FALSE)),"",VLOOKUP(O145,Key!$A$2:$B$982,2,FALSE))</f>
        <v/>
      </c>
    </row>
    <row r="146" ht="15.75" customHeight="1" s="71">
      <c r="A146" s="4" t="n"/>
      <c r="B146" s="44" t="n"/>
      <c r="C146" s="50" t="inlineStr"/>
      <c r="D146" s="50">
        <f>IF(ISERROR(VLOOKUP(C146,Key!$A$2:$B$982,2,FALSE)),"",VLOOKUP(C146,Key!$A$2:$B$982,2,FALSE))</f>
        <v/>
      </c>
      <c r="E146" s="4" t="n"/>
      <c r="F146" s="44" t="n"/>
      <c r="G146" s="50" t="inlineStr"/>
      <c r="H146" s="50">
        <f>IF(ISERROR(VLOOKUP(G146,Key!$A$2:$B$982,2,FALSE)),"",VLOOKUP(G146,Key!$A$2:$B$982,2,FALSE))</f>
        <v/>
      </c>
      <c r="I146" s="4" t="n"/>
      <c r="J146" s="44" t="n"/>
      <c r="K146" s="50" t="inlineStr"/>
      <c r="L146" s="50">
        <f>IF(ISERROR(VLOOKUP(K146,Key!$A$2:$B$982,2,FALSE)),"",VLOOKUP(K146,Key!$A$2:$B$982,2,FALSE))</f>
        <v/>
      </c>
      <c r="M146" s="4" t="n">
        <v>133</v>
      </c>
      <c r="N146" s="44">
        <f>(ROUND((M146-0.5)/233*809+0.5,0)-0.5)/809*Calculator!$AD$2</f>
        <v/>
      </c>
      <c r="O146" s="50" t="n">
        <v>141</v>
      </c>
      <c r="P146" s="50">
        <f>IF(ISERROR(VLOOKUP(O146,Key!$A$2:$B$982,2,FALSE)),"",VLOOKUP(O146,Key!$A$2:$B$982,2,FALSE))</f>
        <v/>
      </c>
    </row>
    <row r="147" ht="15.75" customHeight="1" s="71">
      <c r="A147" s="4" t="n"/>
      <c r="B147" s="44" t="n"/>
      <c r="C147" s="50" t="inlineStr"/>
      <c r="D147" s="50">
        <f>IF(ISERROR(VLOOKUP(C147,Key!$A$2:$B$982,2,FALSE)),"",VLOOKUP(C147,Key!$A$2:$B$982,2,FALSE))</f>
        <v/>
      </c>
      <c r="E147" s="4" t="n"/>
      <c r="F147" s="44" t="n"/>
      <c r="G147" s="50" t="inlineStr"/>
      <c r="H147" s="50">
        <f>IF(ISERROR(VLOOKUP(G147,Key!$A$2:$B$982,2,FALSE)),"",VLOOKUP(G147,Key!$A$2:$B$982,2,FALSE))</f>
        <v/>
      </c>
      <c r="I147" s="4" t="n"/>
      <c r="J147" s="44" t="n"/>
      <c r="K147" s="50" t="inlineStr"/>
      <c r="L147" s="50">
        <f>IF(ISERROR(VLOOKUP(K147,Key!$A$2:$B$982,2,FALSE)),"",VLOOKUP(K147,Key!$A$2:$B$982,2,FALSE))</f>
        <v/>
      </c>
      <c r="M147" s="4" t="n">
        <v>134</v>
      </c>
      <c r="N147" s="44">
        <f>(ROUND((M147-0.5)/233*809+0.5,0)-0.5)/809*Calculator!$AD$2</f>
        <v/>
      </c>
      <c r="O147" s="50" t="n">
        <v>142</v>
      </c>
      <c r="P147" s="50">
        <f>IF(ISERROR(VLOOKUP(O147,Key!$A$2:$B$982,2,FALSE)),"",VLOOKUP(O147,Key!$A$2:$B$982,2,FALSE))</f>
        <v/>
      </c>
    </row>
    <row r="148" ht="15.75" customHeight="1" s="71">
      <c r="A148" s="4" t="n"/>
      <c r="B148" s="44" t="n"/>
      <c r="C148" s="50" t="inlineStr"/>
      <c r="D148" s="50">
        <f>IF(ISERROR(VLOOKUP(C148,Key!$A$2:$B$982,2,FALSE)),"",VLOOKUP(C148,Key!$A$2:$B$982,2,FALSE))</f>
        <v/>
      </c>
      <c r="E148" s="4" t="n"/>
      <c r="F148" s="44" t="n"/>
      <c r="G148" s="50" t="inlineStr"/>
      <c r="H148" s="50">
        <f>IF(ISERROR(VLOOKUP(G148,Key!$A$2:$B$982,2,FALSE)),"",VLOOKUP(G148,Key!$A$2:$B$982,2,FALSE))</f>
        <v/>
      </c>
      <c r="I148" s="4" t="n"/>
      <c r="J148" s="44" t="n"/>
      <c r="K148" s="50" t="inlineStr"/>
      <c r="L148" s="50">
        <f>IF(ISERROR(VLOOKUP(K148,Key!$A$2:$B$982,2,FALSE)),"",VLOOKUP(K148,Key!$A$2:$B$982,2,FALSE))</f>
        <v/>
      </c>
      <c r="M148" s="4" t="n">
        <v>135</v>
      </c>
      <c r="N148" s="44">
        <f>(ROUND((M148-0.5)/233*809+0.5,0)-0.5)/809*Calculator!$AD$2</f>
        <v/>
      </c>
      <c r="O148" s="50" t="n">
        <v>143</v>
      </c>
      <c r="P148" s="50">
        <f>IF(ISERROR(VLOOKUP(O148,Key!$A$2:$B$982,2,FALSE)),"",VLOOKUP(O148,Key!$A$2:$B$982,2,FALSE))</f>
        <v/>
      </c>
    </row>
    <row r="149" ht="15.75" customHeight="1" s="71">
      <c r="A149" s="4" t="n"/>
      <c r="B149" s="44" t="n"/>
      <c r="C149" s="50" t="inlineStr"/>
      <c r="D149" s="50">
        <f>IF(ISERROR(VLOOKUP(C149,Key!$A$2:$B$982,2,FALSE)),"",VLOOKUP(C149,Key!$A$2:$B$982,2,FALSE))</f>
        <v/>
      </c>
      <c r="E149" s="4" t="n">
        <v>28</v>
      </c>
      <c r="F149" s="44" t="n">
        <v>66.1171759581626</v>
      </c>
      <c r="G149" s="50" t="n">
        <v>146</v>
      </c>
      <c r="H149" s="50">
        <f>IF(ISERROR(VLOOKUP(G149,Key!$A$2:$B$982,2,FALSE)),"",VLOOKUP(G149,Key!$A$2:$B$982,2,FALSE))</f>
        <v/>
      </c>
      <c r="I149" s="4" t="n">
        <v>34</v>
      </c>
      <c r="J149" s="44" t="n">
        <v>66.1171759581626</v>
      </c>
      <c r="K149" s="50" t="n">
        <v>146</v>
      </c>
      <c r="L149" s="50">
        <f>IF(ISERROR(VLOOKUP(K149,Key!$A$2:$B$982,2,FALSE)),"",VLOOKUP(K149,Key!$A$2:$B$982,2,FALSE))</f>
        <v/>
      </c>
      <c r="M149" s="4" t="n">
        <v>136</v>
      </c>
      <c r="N149" s="44">
        <f>(ROUND((M149-0.5)/233*809+0.5,0)-0.5)/809*Calculator!$AD$2</f>
        <v/>
      </c>
      <c r="O149" s="50" t="n">
        <v>144</v>
      </c>
      <c r="P149" s="50">
        <f>IF(ISERROR(VLOOKUP(O149,Key!$A$2:$B$982,2,FALSE)),"",VLOOKUP(O149,Key!$A$2:$B$982,2,FALSE))</f>
        <v/>
      </c>
    </row>
    <row r="150" ht="15.75" customHeight="1" s="71">
      <c r="A150" s="4" t="n"/>
      <c r="B150" s="44" t="n"/>
      <c r="C150" s="50" t="inlineStr"/>
      <c r="D150" s="50">
        <f>IF(ISERROR(VLOOKUP(C150,Key!$A$2:$B$982,2,FALSE)),"",VLOOKUP(C150,Key!$A$2:$B$982,2,FALSE))</f>
        <v/>
      </c>
      <c r="E150" s="4" t="n"/>
      <c r="F150" s="44" t="n"/>
      <c r="G150" s="50" t="inlineStr"/>
      <c r="H150" s="50">
        <f>IF(ISERROR(VLOOKUP(G150,Key!$A$2:$B$982,2,FALSE)),"",VLOOKUP(G150,Key!$A$2:$B$982,2,FALSE))</f>
        <v/>
      </c>
      <c r="I150" s="4" t="n"/>
      <c r="J150" s="44" t="n"/>
      <c r="K150" s="50" t="inlineStr"/>
      <c r="L150" s="50">
        <f>IF(ISERROR(VLOOKUP(K150,Key!$A$2:$B$982,2,FALSE)),"",VLOOKUP(K150,Key!$A$2:$B$982,2,FALSE))</f>
        <v/>
      </c>
      <c r="M150" s="4" t="n">
        <v>137</v>
      </c>
      <c r="N150" s="44">
        <f>(ROUND((M150-0.5)/233*809+0.5,0)-0.5)/809*Calculator!$AD$2</f>
        <v/>
      </c>
      <c r="O150" s="50" t="n">
        <v>145</v>
      </c>
      <c r="P150" s="50">
        <f>IF(ISERROR(VLOOKUP(O150,Key!$A$2:$B$982,2,FALSE)),"",VLOOKUP(O150,Key!$A$2:$B$982,2,FALSE))</f>
        <v/>
      </c>
    </row>
    <row r="151" ht="15.75" customHeight="1" s="71">
      <c r="A151" s="4" t="n"/>
      <c r="B151" s="44" t="n"/>
      <c r="C151" s="50" t="inlineStr"/>
      <c r="D151" s="50">
        <f>IF(ISERROR(VLOOKUP(C151,Key!$A$2:$B$982,2,FALSE)),"",VLOOKUP(C151,Key!$A$2:$B$982,2,FALSE))</f>
        <v/>
      </c>
      <c r="E151" s="4" t="n"/>
      <c r="F151" s="44" t="n"/>
      <c r="G151" s="50" t="inlineStr"/>
      <c r="H151" s="50">
        <f>IF(ISERROR(VLOOKUP(G151,Key!$A$2:$B$982,2,FALSE)),"",VLOOKUP(G151,Key!$A$2:$B$982,2,FALSE))</f>
        <v/>
      </c>
      <c r="I151" s="4" t="n"/>
      <c r="J151" s="44" t="n"/>
      <c r="K151" s="50" t="inlineStr"/>
      <c r="L151" s="50">
        <f>IF(ISERROR(VLOOKUP(K151,Key!$A$2:$B$982,2,FALSE)),"",VLOOKUP(K151,Key!$A$2:$B$982,2,FALSE))</f>
        <v/>
      </c>
      <c r="M151" s="4" t="n">
        <v>138</v>
      </c>
      <c r="N151" s="44">
        <f>(ROUND((M151-0.5)/233*809+0.5,0)-0.5)/809*Calculator!$AD$2</f>
        <v/>
      </c>
      <c r="O151" s="50" t="n">
        <v>146</v>
      </c>
      <c r="P151" s="50">
        <f>IF(ISERROR(VLOOKUP(O151,Key!$A$2:$B$982,2,FALSE)),"",VLOOKUP(O151,Key!$A$2:$B$982,2,FALSE))</f>
        <v/>
      </c>
    </row>
    <row r="152" ht="15.75" customHeight="1" s="71">
      <c r="A152" s="4" t="n"/>
      <c r="B152" s="44" t="n"/>
      <c r="C152" s="50" t="inlineStr"/>
      <c r="D152" s="50">
        <f>IF(ISERROR(VLOOKUP(C152,Key!$A$2:$B$982,2,FALSE)),"",VLOOKUP(C152,Key!$A$2:$B$982,2,FALSE))</f>
        <v/>
      </c>
      <c r="E152" s="4" t="n"/>
      <c r="F152" s="44" t="n"/>
      <c r="G152" s="50" t="inlineStr"/>
      <c r="H152" s="50">
        <f>IF(ISERROR(VLOOKUP(G152,Key!$A$2:$B$982,2,FALSE)),"",VLOOKUP(G152,Key!$A$2:$B$982,2,FALSE))</f>
        <v/>
      </c>
      <c r="I152" s="4" t="n"/>
      <c r="J152" s="44" t="n"/>
      <c r="K152" s="50" t="inlineStr"/>
      <c r="L152" s="50">
        <f>IF(ISERROR(VLOOKUP(K152,Key!$A$2:$B$982,2,FALSE)),"",VLOOKUP(K152,Key!$A$2:$B$982,2,FALSE))</f>
        <v/>
      </c>
      <c r="M152" s="4" t="n">
        <v>139</v>
      </c>
      <c r="N152" s="44">
        <f>(ROUND((M152-0.5)/233*809+0.5,0)-0.5)/809*Calculator!$AD$2</f>
        <v/>
      </c>
      <c r="O152" s="50" t="n">
        <v>147</v>
      </c>
      <c r="P152" s="50">
        <f>IF(ISERROR(VLOOKUP(O152,Key!$A$2:$B$982,2,FALSE)),"",VLOOKUP(O152,Key!$A$2:$B$982,2,FALSE))</f>
        <v/>
      </c>
    </row>
    <row r="153" ht="15.75" customHeight="1" s="71">
      <c r="A153" s="4" t="n"/>
      <c r="B153" s="44" t="n"/>
      <c r="C153" s="50" t="inlineStr"/>
      <c r="D153" s="50">
        <f>IF(ISERROR(VLOOKUP(C153,Key!$A$2:$B$982,2,FALSE)),"",VLOOKUP(C153,Key!$A$2:$B$982,2,FALSE))</f>
        <v/>
      </c>
      <c r="E153" s="4" t="n"/>
      <c r="F153" s="44" t="n"/>
      <c r="G153" s="50" t="inlineStr"/>
      <c r="H153" s="50">
        <f>IF(ISERROR(VLOOKUP(G153,Key!$A$2:$B$982,2,FALSE)),"",VLOOKUP(G153,Key!$A$2:$B$982,2,FALSE))</f>
        <v/>
      </c>
      <c r="I153" s="4" t="n"/>
      <c r="J153" s="44" t="n"/>
      <c r="K153" s="50" t="n"/>
      <c r="L153" s="50">
        <f>IF(ISERROR(VLOOKUP(K153,Key!$A$2:$B$982,2,FALSE)),"",VLOOKUP(K153,Key!$A$2:$B$982,2,FALSE))</f>
        <v/>
      </c>
      <c r="M153" s="4" t="n">
        <v>140</v>
      </c>
      <c r="N153" s="44">
        <f>(ROUND((M153-0.5)/233*809+0.5,0)-0.5)/809*Calculator!$AD$2</f>
        <v/>
      </c>
      <c r="O153" s="50" t="n">
        <v>148</v>
      </c>
      <c r="P153" s="50">
        <f>IF(ISERROR(VLOOKUP(O153,Key!$A$2:$B$982,2,FALSE)),"",VLOOKUP(O153,Key!$A$2:$B$982,2,FALSE))</f>
        <v/>
      </c>
    </row>
    <row r="154" ht="15.75" customHeight="1" s="71">
      <c r="A154" s="57" t="n"/>
      <c r="B154" s="53" t="n">
        <v>68.5725082211804</v>
      </c>
      <c r="C154" s="55" t="n"/>
      <c r="D154" s="55" t="n"/>
      <c r="E154" s="57" t="n"/>
      <c r="F154" s="53" t="n">
        <v>68.5725082211804</v>
      </c>
      <c r="G154" s="55" t="n"/>
      <c r="H154" s="55" t="n"/>
      <c r="I154" s="57" t="n"/>
      <c r="J154" s="53" t="n">
        <v>68.5725082211804</v>
      </c>
      <c r="K154" s="55" t="n"/>
      <c r="L154" s="55" t="n"/>
      <c r="M154" s="57" t="n"/>
      <c r="N154" s="53" t="n">
        <v>68.5725082211804</v>
      </c>
      <c r="O154" s="55" t="n"/>
      <c r="P154" s="55" t="n"/>
    </row>
  </sheetData>
  <mergeCells count="12">
    <mergeCell ref="A1:D1"/>
    <mergeCell ref="E1:H1"/>
    <mergeCell ref="I1:L1"/>
    <mergeCell ref="M1:P1"/>
    <mergeCell ref="E2:G2"/>
    <mergeCell ref="I2:K2"/>
    <mergeCell ref="M2:O2"/>
    <mergeCell ref="A2:C2"/>
    <mergeCell ref="A3:C3"/>
    <mergeCell ref="E3:G3"/>
    <mergeCell ref="I3:K3"/>
    <mergeCell ref="M3:O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3984375" defaultRowHeight="15" customHeight="1"/>
  <cols>
    <col width="4.59765625" customWidth="1" style="71" min="1" max="1"/>
    <col width="8.796875" customWidth="1" style="71" min="2" max="2"/>
    <col width="12.59765625" customWidth="1" style="71" min="3" max="3"/>
    <col width="10.3984375" customWidth="1" style="71" min="4" max="4"/>
    <col width="19.19921875" customWidth="1" style="71" min="5" max="5"/>
    <col width="7.796875" customWidth="1" style="71" min="6" max="6"/>
  </cols>
  <sheetData>
    <row r="1" ht="15" customHeight="1" s="71">
      <c r="A1" s="58" t="inlineStr">
        <is>
          <t>Key</t>
        </is>
      </c>
      <c r="B1" s="77" t="inlineStr">
        <is>
          <t>Name</t>
        </is>
      </c>
      <c r="C1" s="77" t="inlineStr">
        <is>
          <t>Denominator</t>
        </is>
      </c>
      <c r="D1" s="28" t="inlineStr">
        <is>
          <t>Numerator</t>
        </is>
      </c>
      <c r="E1" s="77" t="inlineStr">
        <is>
          <t>Value (¢)</t>
        </is>
      </c>
      <c r="F1" s="77" t="inlineStr">
        <is>
          <t>Symbol</t>
        </is>
      </c>
    </row>
    <row r="2" ht="15" customHeight="1" s="71">
      <c r="A2" s="61" t="inlineStr">
        <is>
          <t>0</t>
        </is>
      </c>
      <c r="B2" s="50" t="inlineStr">
        <is>
          <t>1u</t>
        </is>
      </c>
      <c r="C2" s="29" t="n">
        <v>1</v>
      </c>
      <c r="D2" s="62" t="n">
        <v>1</v>
      </c>
      <c r="E2" s="60">
        <f>1200*LN($D2/$C2)/LN(2)</f>
        <v/>
      </c>
      <c r="F2" s="29" t="n"/>
    </row>
    <row r="3" ht="15" customHeight="1" s="71">
      <c r="A3" s="61" t="n">
        <v>1</v>
      </c>
      <c r="B3" s="29" t="inlineStr">
        <is>
          <t>1/455n</t>
        </is>
      </c>
      <c r="C3" s="29" t="n">
        <v>4095</v>
      </c>
      <c r="D3" s="62" t="n">
        <v>4096</v>
      </c>
      <c r="E3" s="60">
        <f>1200*LN($D3/$C3)/LN(2)</f>
        <v/>
      </c>
      <c r="F3" s="29">
        <f>VLOOKUP(A3,Key!$A$2:$B$982,2,FALSE)</f>
        <v/>
      </c>
    </row>
    <row r="4" ht="15" customHeight="1" s="71">
      <c r="A4" s="61" t="n">
        <v>2</v>
      </c>
      <c r="B4" s="29" t="inlineStr">
        <is>
          <t>65/77n</t>
        </is>
      </c>
      <c r="C4" s="29" t="n">
        <v>2079</v>
      </c>
      <c r="D4" s="62" t="n">
        <v>2080</v>
      </c>
      <c r="E4" s="60">
        <f>1200*LN($D4/$C4)/LN(2)</f>
        <v/>
      </c>
      <c r="F4" s="29">
        <f>VLOOKUP(A4,Key!$A$2:$B$982,2,FALSE)</f>
        <v/>
      </c>
    </row>
    <row r="5" ht="15" customHeight="1" s="71">
      <c r="A5" s="61" t="n">
        <v>3</v>
      </c>
      <c r="B5" s="29" t="inlineStr">
        <is>
          <t>19/5n</t>
        </is>
      </c>
      <c r="C5" s="29" t="n">
        <v>1215</v>
      </c>
      <c r="D5" s="62" t="n">
        <v>1216</v>
      </c>
      <c r="E5" s="60">
        <f>1200*LN($D5/$C5)/LN(2)</f>
        <v/>
      </c>
      <c r="F5" s="29">
        <f>VLOOKUP(A5,Key!$A$2:$B$982,2,FALSE)</f>
        <v/>
      </c>
    </row>
    <row r="6" ht="15" customHeight="1" s="71">
      <c r="A6" s="61" t="n">
        <v>4</v>
      </c>
      <c r="B6" s="29" t="inlineStr">
        <is>
          <t>5s</t>
        </is>
      </c>
      <c r="C6" s="29" t="n">
        <v>32768</v>
      </c>
      <c r="D6" s="62" t="n">
        <v>32805</v>
      </c>
      <c r="E6" s="60">
        <f>1200*LN($D6/$C6)/LN(2)</f>
        <v/>
      </c>
      <c r="F6" s="29">
        <f>VLOOKUP(A6,Key!$A$2:$B$982,2,FALSE)</f>
        <v/>
      </c>
    </row>
    <row r="7" ht="15" customHeight="1" s="71">
      <c r="A7" s="61" t="n">
        <v>5</v>
      </c>
      <c r="B7" s="29" t="inlineStr">
        <is>
          <t>1/91s</t>
        </is>
      </c>
      <c r="C7" s="29" t="n">
        <v>728</v>
      </c>
      <c r="D7" s="62" t="n">
        <v>729</v>
      </c>
      <c r="E7" s="60">
        <f>1200*LN($D7/$C7)/LN(2)</f>
        <v/>
      </c>
      <c r="F7" s="29">
        <f>VLOOKUP(A7,Key!$A$2:$B$982,2,FALSE)</f>
        <v/>
      </c>
    </row>
    <row r="8" ht="15" customHeight="1" s="71">
      <c r="A8" s="61" t="n">
        <v>6</v>
      </c>
      <c r="B8" s="29" t="inlineStr">
        <is>
          <t>19/4375s</t>
        </is>
      </c>
      <c r="C8" s="29" t="n">
        <v>1120000</v>
      </c>
      <c r="D8" s="62" t="n">
        <v>1121931</v>
      </c>
      <c r="E8" s="60">
        <f>1200*LN($D8/$C8)/LN(2)</f>
        <v/>
      </c>
      <c r="F8" s="29">
        <f>VLOOKUP(A8,Key!$A$2:$B$982,2,FALSE)</f>
        <v/>
      </c>
    </row>
    <row r="9" ht="15" customHeight="1" s="71">
      <c r="A9" s="61" t="n">
        <v>7</v>
      </c>
      <c r="B9" s="29" t="inlineStr">
        <is>
          <t>19s</t>
        </is>
      </c>
      <c r="C9" s="29" t="n">
        <v>512</v>
      </c>
      <c r="D9" s="62" t="n">
        <v>513</v>
      </c>
      <c r="E9" s="60">
        <f>1200*LN($D9/$C9)/LN(2)</f>
        <v/>
      </c>
      <c r="F9" s="29">
        <f>VLOOKUP(A9,Key!$A$2:$B$982,2,FALSE)</f>
        <v/>
      </c>
    </row>
    <row r="10" ht="15" customHeight="1" s="71">
      <c r="A10" s="61" t="n">
        <v>8</v>
      </c>
      <c r="B10" s="29" t="inlineStr">
        <is>
          <t>49/55s</t>
        </is>
      </c>
      <c r="C10" s="29" t="n">
        <v>440</v>
      </c>
      <c r="D10" s="62" t="n">
        <v>441</v>
      </c>
      <c r="E10" s="60">
        <f>1200*LN($D10/$C10)/LN(2)</f>
        <v/>
      </c>
      <c r="F10" s="29">
        <f>VLOOKUP(A10,Key!$A$2:$B$982,2,FALSE)</f>
        <v/>
      </c>
    </row>
    <row r="11" ht="15" customHeight="1" s="71">
      <c r="A11" s="61" t="n">
        <v>9</v>
      </c>
      <c r="B11" s="29" t="inlineStr">
        <is>
          <t>385k</t>
        </is>
      </c>
      <c r="C11" s="29" t="n">
        <v>384</v>
      </c>
      <c r="D11" s="62" t="n">
        <v>385</v>
      </c>
      <c r="E11" s="60">
        <f>1200*LN($D11/$C11)/LN(2)</f>
        <v/>
      </c>
      <c r="F11" s="29">
        <f>VLOOKUP(A11,Key!$A$2:$B$982,2,FALSE)</f>
        <v/>
      </c>
    </row>
    <row r="12" ht="15" customHeight="1" s="71">
      <c r="A12" s="61" t="n">
        <v>10</v>
      </c>
      <c r="B12" s="29" t="inlineStr">
        <is>
          <t>11/13k</t>
        </is>
      </c>
      <c r="C12" s="29" t="n">
        <v>351</v>
      </c>
      <c r="D12" s="62" t="n">
        <v>352</v>
      </c>
      <c r="E12" s="60">
        <f>1200*LN($D12/$C12)/LN(2)</f>
        <v/>
      </c>
      <c r="F12" s="29">
        <f>VLOOKUP(A12,Key!$A$2:$B$982,2,FALSE)</f>
        <v/>
      </c>
    </row>
    <row r="13" ht="15" customHeight="1" s="71">
      <c r="A13" s="61" t="n">
        <v>11</v>
      </c>
      <c r="B13" s="29" t="inlineStr">
        <is>
          <t>31/11k</t>
        </is>
      </c>
      <c r="C13" s="29" t="n">
        <v>22528</v>
      </c>
      <c r="D13" s="62" t="n">
        <v>22599</v>
      </c>
      <c r="E13" s="60">
        <f>1200*LN($D13/$C13)/LN(2)</f>
        <v/>
      </c>
      <c r="F13" s="29">
        <f>VLOOKUP(A13,Key!$A$2:$B$982,2,FALSE)</f>
        <v/>
      </c>
    </row>
    <row r="14" ht="15" customHeight="1" s="71">
      <c r="A14" s="61" t="n">
        <v>12</v>
      </c>
      <c r="B14" s="29" t="inlineStr">
        <is>
          <t>5/7k</t>
        </is>
      </c>
      <c r="C14" s="29" t="n">
        <v>5103</v>
      </c>
      <c r="D14" s="62" t="n">
        <v>5120</v>
      </c>
      <c r="E14" s="60">
        <f>1200*LN($D14/$C14)/LN(2)</f>
        <v/>
      </c>
      <c r="F14" s="29">
        <f>VLOOKUP(A14,Key!$A$2:$B$982,2,FALSE)</f>
        <v/>
      </c>
    </row>
    <row r="15" ht="15" customHeight="1" s="71">
      <c r="A15" s="61" t="n">
        <v>13</v>
      </c>
      <c r="B15" s="29" t="inlineStr">
        <is>
          <t>343/5k</t>
        </is>
      </c>
      <c r="C15" s="29" t="n">
        <v>10935</v>
      </c>
      <c r="D15" s="62" t="n">
        <v>10976</v>
      </c>
      <c r="E15" s="60">
        <f>1200*LN($D15/$C15)/LN(2)</f>
        <v/>
      </c>
      <c r="F15" s="29">
        <f>VLOOKUP(A15,Key!$A$2:$B$982,2,FALSE)</f>
        <v/>
      </c>
    </row>
    <row r="16" ht="15" customHeight="1" s="71">
      <c r="A16" s="61" t="n">
        <v>14</v>
      </c>
      <c r="B16" s="29" t="inlineStr">
        <is>
          <t>1/85k</t>
        </is>
      </c>
      <c r="C16" s="29" t="n">
        <v>255</v>
      </c>
      <c r="D16" s="62" t="n">
        <v>256</v>
      </c>
      <c r="E16" s="60">
        <f>1200*LN($D16/$C16)/LN(2)</f>
        <v/>
      </c>
      <c r="F16" s="29">
        <f>VLOOKUP(A16,Key!$A$2:$B$982,2,FALSE)</f>
        <v/>
      </c>
    </row>
    <row r="17" ht="15" customHeight="1" s="71">
      <c r="A17" s="61" t="n">
        <v>15</v>
      </c>
      <c r="B17" s="29" t="inlineStr">
        <is>
          <t>1/1225k</t>
        </is>
      </c>
      <c r="C17" s="29" t="n">
        <v>19600</v>
      </c>
      <c r="D17" s="62" t="n">
        <v>19683</v>
      </c>
      <c r="E17" s="60">
        <f>1200*LN($D17/$C17)/LN(2)</f>
        <v/>
      </c>
      <c r="F17" s="29">
        <f>VLOOKUP(A17,Key!$A$2:$B$982,2,FALSE)</f>
        <v/>
      </c>
    </row>
    <row r="18" ht="15" customHeight="1" s="71">
      <c r="A18" s="61" t="n">
        <v>16</v>
      </c>
      <c r="B18" s="29" t="inlineStr">
        <is>
          <t>25/7k</t>
        </is>
      </c>
      <c r="C18" s="29" t="n">
        <v>224</v>
      </c>
      <c r="D18" s="62" t="n">
        <v>225</v>
      </c>
      <c r="E18" s="60">
        <f>1200*LN($D18/$C18)/LN(2)</f>
        <v/>
      </c>
      <c r="F18" s="29">
        <f>VLOOKUP(A18,Key!$A$2:$B$982,2,FALSE)</f>
        <v/>
      </c>
    </row>
    <row r="19" ht="15" customHeight="1" s="71">
      <c r="A19" s="61" t="n">
        <v>17</v>
      </c>
      <c r="B19" s="29" t="inlineStr">
        <is>
          <t>343k</t>
        </is>
      </c>
      <c r="C19" s="29" t="n">
        <v>1024</v>
      </c>
      <c r="D19" s="62" t="n">
        <v>1029</v>
      </c>
      <c r="E19" s="60">
        <f>1200*LN($D19/$C19)/LN(2)</f>
        <v/>
      </c>
      <c r="F19" s="29">
        <f>VLOOKUP(A19,Key!$A$2:$B$982,2,FALSE)</f>
        <v/>
      </c>
    </row>
    <row r="20" ht="15" customHeight="1" s="71">
      <c r="A20" s="61" t="n">
        <v>18</v>
      </c>
      <c r="B20" s="29" t="inlineStr">
        <is>
          <t>1/17k</t>
        </is>
      </c>
      <c r="C20" s="29" t="n">
        <v>2176</v>
      </c>
      <c r="D20" s="62" t="n">
        <v>2187</v>
      </c>
      <c r="E20" s="60">
        <f>1200*LN($D20/$C20)/LN(2)</f>
        <v/>
      </c>
      <c r="F20" s="29">
        <f>VLOOKUP(A20,Key!$A$2:$B$982,2,FALSE)</f>
        <v/>
      </c>
    </row>
    <row r="21" ht="15" customHeight="1" s="71">
      <c r="A21" s="61" t="n">
        <v>19</v>
      </c>
      <c r="B21" s="29" t="inlineStr">
        <is>
          <t>14641k</t>
        </is>
      </c>
      <c r="C21" s="29" t="n">
        <v>131072</v>
      </c>
      <c r="D21" s="62" t="n">
        <v>131769</v>
      </c>
      <c r="E21" s="60">
        <f>1200*LN($D21/$C21)/LN(2)</f>
        <v/>
      </c>
      <c r="F21" s="29">
        <f>VLOOKUP(A21,Key!$A$2:$B$982,2,FALSE)</f>
        <v/>
      </c>
    </row>
    <row r="22" ht="15" customHeight="1" s="71">
      <c r="A22" s="61" t="n">
        <v>20</v>
      </c>
      <c r="B22" s="29" t="inlineStr">
        <is>
          <t>7/11k</t>
        </is>
      </c>
      <c r="C22" s="29" t="n">
        <v>891</v>
      </c>
      <c r="D22" s="62" t="n">
        <v>896</v>
      </c>
      <c r="E22" s="60">
        <f>1200*LN($D22/$C22)/LN(2)</f>
        <v/>
      </c>
      <c r="F22" s="29">
        <f>VLOOKUP(A22,Key!$A$2:$B$982,2,FALSE)</f>
        <v/>
      </c>
    </row>
    <row r="23" ht="15" customHeight="1" s="71">
      <c r="A23" s="61" t="n">
        <v>21</v>
      </c>
      <c r="B23" s="29" t="inlineStr">
        <is>
          <t>275k</t>
        </is>
      </c>
      <c r="C23" s="29" t="n">
        <v>2187</v>
      </c>
      <c r="D23" s="62" t="n">
        <v>2200</v>
      </c>
      <c r="E23" s="60">
        <f>1200*LN($D23/$C23)/LN(2)</f>
        <v/>
      </c>
      <c r="F23" s="29">
        <f>VLOOKUP(A23,Key!$A$2:$B$982,2,FALSE)</f>
        <v/>
      </c>
    </row>
    <row r="24" ht="15" customHeight="1" s="71">
      <c r="A24" s="61" t="n">
        <v>22</v>
      </c>
      <c r="B24" s="29" t="inlineStr">
        <is>
          <t>49/13k</t>
        </is>
      </c>
      <c r="C24" s="29" t="n">
        <v>106496</v>
      </c>
      <c r="D24" s="62" t="n">
        <v>107163</v>
      </c>
      <c r="E24" s="60">
        <f>1200*LN($D24/$C24)/LN(2)</f>
        <v/>
      </c>
      <c r="F24" s="29">
        <f>VLOOKUP(A24,Key!$A$2:$B$982,2,FALSE)</f>
        <v/>
      </c>
    </row>
    <row r="25" ht="15" customHeight="1" s="71">
      <c r="A25" s="61" t="n">
        <v>23</v>
      </c>
      <c r="B25" s="29" t="inlineStr">
        <is>
          <t>1/8575k</t>
        </is>
      </c>
      <c r="C25" s="29" t="n">
        <v>2083725</v>
      </c>
      <c r="D25" s="62" t="n">
        <v>2097152</v>
      </c>
      <c r="E25" s="60">
        <f>1200*LN($D25/$C25)/LN(2)</f>
        <v/>
      </c>
      <c r="F25" s="29">
        <f>VLOOKUP(A25,Key!$A$2:$B$982,2,FALSE)</f>
        <v/>
      </c>
    </row>
    <row r="26" ht="15" customHeight="1" s="71">
      <c r="A26" s="61" t="n">
        <v>24</v>
      </c>
      <c r="B26" s="29" t="inlineStr">
        <is>
          <t>35/11k</t>
        </is>
      </c>
      <c r="C26" s="29" t="n">
        <v>2816</v>
      </c>
      <c r="D26" s="62" t="n">
        <v>2835</v>
      </c>
      <c r="E26" s="60">
        <f>1200*LN($D26/$C26)/LN(2)</f>
        <v/>
      </c>
      <c r="F26" s="29">
        <f>VLOOKUP(A26,Key!$A$2:$B$982,2,FALSE)</f>
        <v/>
      </c>
    </row>
    <row r="27" ht="15" customHeight="1" s="71">
      <c r="A27" s="61" t="n">
        <v>25</v>
      </c>
      <c r="B27" s="29" t="inlineStr">
        <is>
          <t>1/143C</t>
        </is>
      </c>
      <c r="C27" s="29" t="n">
        <v>143</v>
      </c>
      <c r="D27" s="62" t="n">
        <v>144</v>
      </c>
      <c r="E27" s="60">
        <f>1200*LN($D27/$C27)/LN(2)</f>
        <v/>
      </c>
      <c r="F27" s="29">
        <f>VLOOKUP(A27,Key!$A$2:$B$982,2,FALSE)</f>
        <v/>
      </c>
    </row>
    <row r="28" ht="15" customHeight="1" s="71">
      <c r="A28" s="61" t="n">
        <v>26</v>
      </c>
      <c r="B28" s="29" t="inlineStr">
        <is>
          <t>17/5C</t>
        </is>
      </c>
      <c r="C28" s="29" t="n">
        <v>135</v>
      </c>
      <c r="D28" s="62" t="n">
        <v>136</v>
      </c>
      <c r="E28" s="60">
        <f>1200*LN($D28/$C28)/LN(2)</f>
        <v/>
      </c>
      <c r="F28" s="29">
        <f>VLOOKUP(A28,Key!$A$2:$B$982,2,FALSE)</f>
        <v/>
      </c>
    </row>
    <row r="29" ht="15" customHeight="1" s="71">
      <c r="A29" s="61" t="n">
        <v>27</v>
      </c>
      <c r="B29" s="29" t="inlineStr">
        <is>
          <t>11/23C</t>
        </is>
      </c>
      <c r="C29" s="29" t="n">
        <v>5589</v>
      </c>
      <c r="D29" s="62" t="n">
        <v>5632</v>
      </c>
      <c r="E29" s="60">
        <f>1200*LN($D29/$C29)/LN(2)</f>
        <v/>
      </c>
      <c r="F29" s="29">
        <f>VLOOKUP(A29,Key!$A$2:$B$982,2,FALSE)</f>
        <v/>
      </c>
    </row>
    <row r="30" ht="15" customHeight="1" s="71">
      <c r="A30" s="61" t="n">
        <v>28</v>
      </c>
      <c r="B30" s="29" t="inlineStr">
        <is>
          <t>7/125C</t>
        </is>
      </c>
      <c r="C30" s="29" t="n">
        <v>125</v>
      </c>
      <c r="D30" s="62" t="n">
        <v>126</v>
      </c>
      <c r="E30" s="60">
        <f>1200*LN($D30/$C30)/LN(2)</f>
        <v/>
      </c>
      <c r="F30" s="29">
        <f>VLOOKUP(A30,Key!$A$2:$B$982,2,FALSE)</f>
        <v/>
      </c>
    </row>
    <row r="31" ht="15" customHeight="1" s="71">
      <c r="A31" s="61" t="n">
        <v>29</v>
      </c>
      <c r="B31" s="29" t="inlineStr">
        <is>
          <t>245C</t>
        </is>
      </c>
      <c r="C31" s="29" t="n">
        <v>243</v>
      </c>
      <c r="D31" s="62" t="n">
        <v>245</v>
      </c>
      <c r="E31" s="60">
        <f>1200*LN($D31/$C31)/LN(2)</f>
        <v/>
      </c>
      <c r="F31" s="29">
        <f>VLOOKUP(A31,Key!$A$2:$B$982,2,FALSE)</f>
        <v/>
      </c>
    </row>
    <row r="32" ht="15" customHeight="1" s="71">
      <c r="A32" s="61" t="n">
        <v>30</v>
      </c>
      <c r="B32" s="29" t="inlineStr">
        <is>
          <t>17C</t>
        </is>
      </c>
      <c r="C32" s="29" t="n">
        <v>4096</v>
      </c>
      <c r="D32" s="62" t="n">
        <v>4131</v>
      </c>
      <c r="E32" s="60">
        <f>1200*LN($D32/$C32)/LN(2)</f>
        <v/>
      </c>
      <c r="F32" s="29">
        <f>VLOOKUP(A32,Key!$A$2:$B$982,2,FALSE)</f>
        <v/>
      </c>
    </row>
    <row r="33" ht="15" customHeight="1" s="71">
      <c r="A33" s="61" t="n">
        <v>31</v>
      </c>
      <c r="B33" s="29" t="inlineStr">
        <is>
          <t>143/7C</t>
        </is>
      </c>
      <c r="C33" s="29" t="n">
        <v>567</v>
      </c>
      <c r="D33" s="62" t="n">
        <v>572</v>
      </c>
      <c r="E33" s="60">
        <f>1200*LN($D33/$C33)/LN(2)</f>
        <v/>
      </c>
      <c r="F33" s="29">
        <f>VLOOKUP(A33,Key!$A$2:$B$982,2,FALSE)</f>
        <v/>
      </c>
    </row>
    <row r="34" ht="15" customHeight="1" s="71">
      <c r="A34" s="61" t="n">
        <v>32</v>
      </c>
      <c r="B34" s="29" t="inlineStr">
        <is>
          <t>7/25C</t>
        </is>
      </c>
      <c r="C34" s="29" t="n">
        <v>409600</v>
      </c>
      <c r="D34" s="62" t="n">
        <v>413343</v>
      </c>
      <c r="E34" s="60">
        <f>1200*LN($D34/$C34)/LN(2)</f>
        <v/>
      </c>
      <c r="F34" s="29">
        <f>VLOOKUP(A34,Key!$A$2:$B$982,2,FALSE)</f>
        <v/>
      </c>
    </row>
    <row r="35" ht="15" customHeight="1" s="71">
      <c r="A35" s="61" t="n">
        <v>33</v>
      </c>
      <c r="B35" s="29" t="inlineStr">
        <is>
          <t>1225C</t>
        </is>
      </c>
      <c r="C35" s="29" t="n">
        <v>32768</v>
      </c>
      <c r="D35" s="62" t="n">
        <v>33075</v>
      </c>
      <c r="E35" s="60">
        <f>1200*LN($D35/$C35)/LN(2)</f>
        <v/>
      </c>
      <c r="F35" s="29">
        <f>VLOOKUP(A35,Key!$A$2:$B$982,2,FALSE)</f>
        <v/>
      </c>
    </row>
    <row r="36" ht="15" customHeight="1" s="71">
      <c r="A36" s="61" t="n">
        <v>34</v>
      </c>
      <c r="B36" s="29" t="inlineStr">
        <is>
          <t>23C</t>
        </is>
      </c>
      <c r="C36" s="29" t="n">
        <v>729</v>
      </c>
      <c r="D36" s="62" t="n">
        <v>736</v>
      </c>
      <c r="E36" s="60">
        <f>1200*LN($D36/$C36)/LN(2)</f>
        <v/>
      </c>
      <c r="F36" s="29">
        <f>VLOOKUP(A36,Key!$A$2:$B$982,2,FALSE)</f>
        <v/>
      </c>
    </row>
    <row r="37" ht="15" customHeight="1" s="71">
      <c r="A37" s="61" t="n">
        <v>35</v>
      </c>
      <c r="B37" s="29" t="inlineStr">
        <is>
          <t>1/169C</t>
        </is>
      </c>
      <c r="C37" s="29" t="n">
        <v>507</v>
      </c>
      <c r="D37" s="62" t="n">
        <v>512</v>
      </c>
      <c r="E37" s="60">
        <f>1200*LN($D37/$C37)/LN(2)</f>
        <v/>
      </c>
      <c r="F37" s="29">
        <f>VLOOKUP(A37,Key!$A$2:$B$982,2,FALSE)</f>
        <v/>
      </c>
    </row>
    <row r="38" ht="15" customHeight="1" s="71">
      <c r="A38" s="61" t="n">
        <v>36</v>
      </c>
      <c r="B38" s="29" t="inlineStr">
        <is>
          <t>11/49C</t>
        </is>
      </c>
      <c r="C38" s="29" t="n">
        <v>98</v>
      </c>
      <c r="D38" s="62" t="n">
        <v>99</v>
      </c>
      <c r="E38" s="60">
        <f>1200*LN($D38/$C38)/LN(2)</f>
        <v/>
      </c>
      <c r="F38" s="29">
        <f>VLOOKUP(A38,Key!$A$2:$B$982,2,FALSE)</f>
        <v/>
      </c>
    </row>
    <row r="39" ht="15" customHeight="1" s="71">
      <c r="A39" s="61" t="n">
        <v>37</v>
      </c>
      <c r="B39" s="29" t="inlineStr">
        <is>
          <t>11/31C</t>
        </is>
      </c>
      <c r="C39" s="29" t="n">
        <v>7936</v>
      </c>
      <c r="D39" s="62" t="n">
        <v>8019</v>
      </c>
      <c r="E39" s="60">
        <f>1200*LN($D39/$C39)/LN(2)</f>
        <v/>
      </c>
      <c r="F39" s="29">
        <f>VLOOKUP(A39,Key!$A$2:$B$982,2,FALSE)</f>
        <v/>
      </c>
    </row>
    <row r="40" ht="15" customHeight="1" s="71">
      <c r="A40" s="61" t="n">
        <v>38</v>
      </c>
      <c r="B40" s="29" t="inlineStr">
        <is>
          <t>17/7C</t>
        </is>
      </c>
      <c r="C40" s="29" t="n">
        <v>137781</v>
      </c>
      <c r="D40" s="62" t="n">
        <v>139264</v>
      </c>
      <c r="E40" s="60">
        <f>1200*LN($D40/$C40)/LN(2)</f>
        <v/>
      </c>
      <c r="F40" s="29">
        <f>VLOOKUP(A40,Key!$A$2:$B$982,2,FALSE)</f>
        <v/>
      </c>
    </row>
    <row r="41" ht="15" customHeight="1" s="71">
      <c r="A41" s="61" t="n">
        <v>39</v>
      </c>
      <c r="B41" s="29" t="inlineStr">
        <is>
          <t>91/5C</t>
        </is>
      </c>
      <c r="C41" s="29" t="n">
        <v>90</v>
      </c>
      <c r="D41" s="62" t="n">
        <v>91</v>
      </c>
      <c r="E41" s="60">
        <f>1200*LN($D41/$C41)/LN(2)</f>
        <v/>
      </c>
      <c r="F41" s="29">
        <f>VLOOKUP(A41,Key!$A$2:$B$982,2,FALSE)</f>
        <v/>
      </c>
    </row>
    <row r="42" ht="15" customHeight="1" s="71">
      <c r="A42" s="61" t="n">
        <v>40</v>
      </c>
      <c r="B42" s="29" t="inlineStr">
        <is>
          <t>1/25C</t>
        </is>
      </c>
      <c r="C42" s="29" t="n">
        <v>2025</v>
      </c>
      <c r="D42" s="62" t="n">
        <v>2048</v>
      </c>
      <c r="E42" s="60">
        <f>1200*LN($D42/$C42)/LN(2)</f>
        <v/>
      </c>
      <c r="F42" s="29">
        <f>VLOOKUP(A42,Key!$A$2:$B$982,2,FALSE)</f>
        <v/>
      </c>
    </row>
    <row r="43" ht="15" customHeight="1" s="71">
      <c r="A43" s="61" t="n">
        <v>41</v>
      </c>
      <c r="B43" s="29" t="inlineStr">
        <is>
          <t>1/19C</t>
        </is>
      </c>
      <c r="C43" s="29" t="n">
        <v>19456</v>
      </c>
      <c r="D43" s="62" t="n">
        <v>19683</v>
      </c>
      <c r="E43" s="60">
        <f>1200*LN($D43/$C43)/LN(2)</f>
        <v/>
      </c>
      <c r="F43" s="29">
        <f>VLOOKUP(A43,Key!$A$2:$B$982,2,FALSE)</f>
        <v/>
      </c>
    </row>
    <row r="44" ht="15" customHeight="1" s="71">
      <c r="A44" s="61" t="n">
        <v>42</v>
      </c>
      <c r="B44" s="29" t="inlineStr">
        <is>
          <t>1/253C</t>
        </is>
      </c>
      <c r="C44" s="29" t="n">
        <v>253</v>
      </c>
      <c r="D44" s="62" t="n">
        <v>256</v>
      </c>
      <c r="E44" s="60">
        <f>1200*LN($D44/$C44)/LN(2)</f>
        <v/>
      </c>
      <c r="F44" s="29">
        <f>VLOOKUP(A44,Key!$A$2:$B$982,2,FALSE)</f>
        <v/>
      </c>
    </row>
    <row r="45" ht="15" customHeight="1" s="71">
      <c r="A45" s="61" t="n">
        <v>43</v>
      </c>
      <c r="B45" s="29" t="inlineStr">
        <is>
          <t>91C</t>
        </is>
      </c>
      <c r="C45" s="29" t="n">
        <v>65536</v>
      </c>
      <c r="D45" s="62" t="n">
        <v>66339</v>
      </c>
      <c r="E45" s="60">
        <f>1200*LN($D45/$C45)/LN(2)</f>
        <v/>
      </c>
      <c r="F45" s="29">
        <f>VLOOKUP(A45,Key!$A$2:$B$982,2,FALSE)</f>
        <v/>
      </c>
    </row>
    <row r="46" ht="15" customHeight="1" s="71">
      <c r="A46" s="61" t="n">
        <v>44</v>
      </c>
      <c r="B46" s="29" t="inlineStr">
        <is>
          <t>1/5C</t>
        </is>
      </c>
      <c r="C46" s="29" t="n">
        <v>80</v>
      </c>
      <c r="D46" s="62" t="n">
        <v>81</v>
      </c>
      <c r="E46" s="60">
        <f>1200*LN($D46/$C46)/LN(2)</f>
        <v/>
      </c>
      <c r="F46" s="29">
        <f>VLOOKUP(A46,Key!$A$2:$B$982,2,FALSE)</f>
        <v/>
      </c>
    </row>
    <row r="47" ht="15" customHeight="1" s="71">
      <c r="A47" s="61" t="n">
        <v>45</v>
      </c>
      <c r="B47" s="29" t="inlineStr">
        <is>
          <t>875C</t>
        </is>
      </c>
      <c r="C47" s="29" t="n">
        <v>864</v>
      </c>
      <c r="D47" s="62" t="n">
        <v>875</v>
      </c>
      <c r="E47" s="60">
        <f>1200*LN($D47/$C47)/LN(2)</f>
        <v/>
      </c>
      <c r="F47" s="29">
        <f>VLOOKUP(A47,Key!$A$2:$B$982,2,FALSE)</f>
        <v/>
      </c>
    </row>
    <row r="48" ht="15" customHeight="1" s="71">
      <c r="A48" s="61" t="n">
        <v>46</v>
      </c>
      <c r="B48" s="29" t="inlineStr">
        <is>
          <t>25/13C</t>
        </is>
      </c>
      <c r="C48" s="29" t="n">
        <v>3159</v>
      </c>
      <c r="D48" s="62" t="n">
        <v>3200</v>
      </c>
      <c r="E48" s="60">
        <f>1200*LN($D48/$C48)/LN(2)</f>
        <v/>
      </c>
      <c r="F48" s="29">
        <f>VLOOKUP(A48,Key!$A$2:$B$982,2,FALSE)</f>
        <v/>
      </c>
    </row>
    <row r="49" ht="15" customHeight="1" s="71">
      <c r="A49" s="61" t="n">
        <v>47</v>
      </c>
      <c r="B49" s="29" t="inlineStr">
        <is>
          <t>19/25C</t>
        </is>
      </c>
      <c r="C49" s="29" t="n">
        <v>75</v>
      </c>
      <c r="D49" s="62" t="n">
        <v>76</v>
      </c>
      <c r="E49" s="60">
        <f>1200*LN($D49/$C49)/LN(2)</f>
        <v/>
      </c>
      <c r="F49" s="29">
        <f>VLOOKUP(A49,Key!$A$2:$B$982,2,FALSE)</f>
        <v/>
      </c>
    </row>
    <row r="50" ht="15" customHeight="1" s="71">
      <c r="A50" s="61" t="n">
        <v>48</v>
      </c>
      <c r="B50" s="29" t="inlineStr">
        <is>
          <t>1C</t>
        </is>
      </c>
      <c r="C50" s="29" t="n">
        <v>524288</v>
      </c>
      <c r="D50" s="62" t="n">
        <v>531441</v>
      </c>
      <c r="E50" s="60">
        <f>1200*LN($D50/$C50)/LN(2)</f>
        <v/>
      </c>
      <c r="F50" s="29">
        <f>VLOOKUP(A50,Key!$A$2:$B$982,2,FALSE)</f>
        <v/>
      </c>
    </row>
    <row r="51" ht="15" customHeight="1" s="71">
      <c r="A51" s="61" t="n">
        <v>49</v>
      </c>
      <c r="B51" s="29" t="inlineStr">
        <is>
          <t>4375C</t>
        </is>
      </c>
      <c r="C51" s="29" t="n">
        <v>1048576</v>
      </c>
      <c r="D51" s="62" t="n">
        <v>1063125</v>
      </c>
      <c r="E51" s="60">
        <f>1200*LN($D51/$C51)/LN(2)</f>
        <v/>
      </c>
      <c r="F51" s="29">
        <f>VLOOKUP(A51,Key!$A$2:$B$982,2,FALSE)</f>
        <v/>
      </c>
    </row>
    <row r="52" ht="15" customHeight="1" s="71">
      <c r="A52" s="61" t="n">
        <v>50</v>
      </c>
      <c r="B52" s="29" t="inlineStr">
        <is>
          <t>77/5C</t>
        </is>
      </c>
      <c r="C52" s="29" t="n">
        <v>1215</v>
      </c>
      <c r="D52" s="62" t="n">
        <v>1232</v>
      </c>
      <c r="E52" s="60">
        <f>1200*LN($D52/$C52)/LN(2)</f>
        <v/>
      </c>
      <c r="F52" s="29">
        <f>VLOOKUP(A52,Key!$A$2:$B$982,2,FALSE)</f>
        <v/>
      </c>
    </row>
    <row r="53" ht="15" customHeight="1" s="71">
      <c r="A53" s="61" t="n">
        <v>51</v>
      </c>
      <c r="B53" s="29" t="inlineStr">
        <is>
          <t>125/13C</t>
        </is>
      </c>
      <c r="C53" s="29" t="n">
        <v>3328</v>
      </c>
      <c r="D53" s="62" t="n">
        <v>3375</v>
      </c>
      <c r="E53" s="60">
        <f>1200*LN($D53/$C53)/LN(2)</f>
        <v/>
      </c>
      <c r="F53" s="29">
        <f>VLOOKUP(A53,Key!$A$2:$B$982,2,FALSE)</f>
        <v/>
      </c>
    </row>
    <row r="54" ht="15" customHeight="1" s="71">
      <c r="A54" s="61" t="n">
        <v>52</v>
      </c>
      <c r="B54" s="29" t="inlineStr">
        <is>
          <t>19/5C</t>
        </is>
      </c>
      <c r="C54" s="29" t="n">
        <v>40960</v>
      </c>
      <c r="D54" s="62" t="n">
        <v>41553</v>
      </c>
      <c r="E54" s="60">
        <f>1200*LN($D54/$C54)/LN(2)</f>
        <v/>
      </c>
      <c r="F54" s="29">
        <f>VLOOKUP(A54,Key!$A$2:$B$982,2,FALSE)</f>
        <v/>
      </c>
    </row>
    <row r="55" ht="15" customHeight="1" s="71">
      <c r="A55" s="61" t="n">
        <v>53</v>
      </c>
      <c r="B55" s="29" t="inlineStr">
        <is>
          <t>13C</t>
        </is>
      </c>
      <c r="C55" s="29" t="n">
        <v>6561</v>
      </c>
      <c r="D55" s="62" t="n">
        <v>6656</v>
      </c>
      <c r="E55" s="60">
        <f>1200*LN($D55/$C55)/LN(2)</f>
        <v/>
      </c>
      <c r="F55" s="29">
        <f>VLOOKUP(A55,Key!$A$2:$B$982,2,FALSE)</f>
        <v/>
      </c>
    </row>
    <row r="56" ht="15" customHeight="1" s="71">
      <c r="A56" s="61" t="n">
        <v>54</v>
      </c>
      <c r="B56" s="29" t="inlineStr">
        <is>
          <t>1/35C</t>
        </is>
      </c>
      <c r="C56" s="29" t="n">
        <v>2066715</v>
      </c>
      <c r="D56" s="62" t="n">
        <v>2097152</v>
      </c>
      <c r="E56" s="60">
        <f>1200*LN($D56/$C56)/LN(2)</f>
        <v/>
      </c>
      <c r="F56" s="29">
        <f>VLOOKUP(A56,Key!$A$2:$B$982,2,FALSE)</f>
        <v/>
      </c>
    </row>
    <row r="57" ht="15" customHeight="1" s="71">
      <c r="A57" s="61" t="n">
        <v>55</v>
      </c>
      <c r="B57" s="29" t="inlineStr">
        <is>
          <t>77C</t>
        </is>
      </c>
      <c r="C57" s="29" t="n">
        <v>2048</v>
      </c>
      <c r="D57" s="62" t="n">
        <v>2079</v>
      </c>
      <c r="E57" s="60">
        <f>1200*LN($D57/$C57)/LN(2)</f>
        <v/>
      </c>
      <c r="F57" s="29">
        <f>VLOOKUP(A57,Key!$A$2:$B$982,2,FALSE)</f>
        <v/>
      </c>
    </row>
    <row r="58" ht="15" customHeight="1" s="71">
      <c r="A58" s="61" t="n">
        <v>56</v>
      </c>
      <c r="B58" s="29" t="inlineStr">
        <is>
          <t>11/65C</t>
        </is>
      </c>
      <c r="C58" s="29" t="n">
        <v>65</v>
      </c>
      <c r="D58" s="62" t="n">
        <v>66</v>
      </c>
      <c r="E58" s="60">
        <f>1200*LN($D58/$C58)/LN(2)</f>
        <v/>
      </c>
      <c r="F58" s="29">
        <f>VLOOKUP(A58,Key!$A$2:$B$982,2,FALSE)</f>
        <v/>
      </c>
    </row>
    <row r="59" ht="15" customHeight="1" s="71">
      <c r="A59" s="61" t="n">
        <v>57</v>
      </c>
      <c r="B59" s="29" t="inlineStr">
        <is>
          <t>65C</t>
        </is>
      </c>
      <c r="C59" s="29" t="n">
        <v>64</v>
      </c>
      <c r="D59" s="62" t="n">
        <v>65</v>
      </c>
      <c r="E59" s="60">
        <f>1200*LN($D59/$C59)/LN(2)</f>
        <v/>
      </c>
      <c r="F59" s="29">
        <f>VLOOKUP(A59,Key!$A$2:$B$982,2,FALSE)</f>
        <v/>
      </c>
    </row>
    <row r="60" ht="15.75" customHeight="1" s="71">
      <c r="A60" s="61" t="n">
        <v>58</v>
      </c>
      <c r="B60" s="29" t="inlineStr">
        <is>
          <t>1/7C</t>
        </is>
      </c>
      <c r="C60" s="29" t="n">
        <v>63</v>
      </c>
      <c r="D60" s="62" t="n">
        <v>64</v>
      </c>
      <c r="E60" s="60">
        <f>1200*LN($D60/$C60)/LN(2)</f>
        <v/>
      </c>
      <c r="F60" s="29">
        <f>VLOOKUP(A60,Key!$A$2:$B$982,2,FALSE)</f>
        <v/>
      </c>
    </row>
    <row r="61" ht="15.75" customHeight="1" s="71">
      <c r="A61" s="61" t="n">
        <v>59</v>
      </c>
      <c r="B61" s="29" t="inlineStr">
        <is>
          <t>625C</t>
        </is>
      </c>
      <c r="C61" s="29" t="n">
        <v>19683</v>
      </c>
      <c r="D61" s="62" t="n">
        <v>20000</v>
      </c>
      <c r="E61" s="60">
        <f>1200*LN($D61/$C61)/LN(2)</f>
        <v/>
      </c>
      <c r="F61" s="29">
        <f>VLOOKUP(A61,Key!$A$2:$B$982,2,FALSE)</f>
        <v/>
      </c>
    </row>
    <row r="62" ht="15.75" customHeight="1" s="71">
      <c r="A62" s="61" t="n">
        <v>60</v>
      </c>
      <c r="B62" s="29" t="inlineStr">
        <is>
          <t>11/13C</t>
        </is>
      </c>
      <c r="C62" s="29" t="n">
        <v>212992</v>
      </c>
      <c r="D62" s="62" t="n">
        <v>216513</v>
      </c>
      <c r="E62" s="60">
        <f>1200*LN($D62/$C62)/LN(2)</f>
        <v/>
      </c>
      <c r="F62" s="29">
        <f>VLOOKUP(A62,Key!$A$2:$B$982,2,FALSE)</f>
        <v/>
      </c>
    </row>
    <row r="63" ht="15.75" customHeight="1" s="71">
      <c r="A63" s="61" t="n">
        <v>61</v>
      </c>
      <c r="B63" s="29" t="inlineStr">
        <is>
          <t>325C</t>
        </is>
      </c>
      <c r="C63" s="29" t="n">
        <v>2097152</v>
      </c>
      <c r="D63" s="62" t="n">
        <v>2132325</v>
      </c>
      <c r="E63" s="60">
        <f>1200*LN($D63/$C63)/LN(2)</f>
        <v/>
      </c>
      <c r="F63" s="29">
        <f>VLOOKUP(A63,Key!$A$2:$B$982,2,FALSE)</f>
        <v/>
      </c>
    </row>
    <row r="64" ht="15.75" customHeight="1" s="71">
      <c r="A64" s="61" t="n">
        <v>62</v>
      </c>
      <c r="B64" s="29" t="inlineStr">
        <is>
          <t>5/7C</t>
        </is>
      </c>
      <c r="C64" s="29" t="n">
        <v>3584</v>
      </c>
      <c r="D64" s="62" t="n">
        <v>3645</v>
      </c>
      <c r="E64" s="60">
        <f>1200*LN($D64/$C64)/LN(2)</f>
        <v/>
      </c>
      <c r="F64" s="29">
        <f>VLOOKUP(A64,Key!$A$2:$B$982,2,FALSE)</f>
        <v/>
      </c>
    </row>
    <row r="65" ht="15.75" customHeight="1" s="71">
      <c r="A65" s="61" t="n">
        <v>63</v>
      </c>
      <c r="B65" s="29" t="inlineStr">
        <is>
          <t>3125C</t>
        </is>
      </c>
      <c r="C65" s="29" t="n">
        <v>3072</v>
      </c>
      <c r="D65" s="62" t="n">
        <v>3125</v>
      </c>
      <c r="E65" s="60">
        <f>1200*LN($D65/$C65)/LN(2)</f>
        <v/>
      </c>
      <c r="F65" s="29">
        <f>VLOOKUP(A65,Key!$A$2:$B$982,2,FALSE)</f>
        <v/>
      </c>
    </row>
    <row r="66" ht="15.75" customHeight="1" s="71">
      <c r="A66" s="61" t="n">
        <v>64</v>
      </c>
      <c r="B66" s="29" t="inlineStr">
        <is>
          <t>85/11C</t>
        </is>
      </c>
      <c r="C66" s="29" t="n">
        <v>2673</v>
      </c>
      <c r="D66" s="62" t="n">
        <v>2720</v>
      </c>
      <c r="E66" s="60">
        <f>1200*LN($D66/$C66)/LN(2)</f>
        <v/>
      </c>
      <c r="F66" s="29">
        <f>VLOOKUP(A66,Key!$A$2:$B$982,2,FALSE)</f>
        <v/>
      </c>
    </row>
    <row r="67" ht="15.75" customHeight="1" s="71">
      <c r="A67" s="61" t="n">
        <v>65</v>
      </c>
      <c r="B67" s="29" t="inlineStr">
        <is>
          <t>19/7C</t>
        </is>
      </c>
      <c r="C67" s="29" t="n">
        <v>56</v>
      </c>
      <c r="D67" s="62" t="n">
        <v>57</v>
      </c>
      <c r="E67" s="60">
        <f>1200*LN($D67/$C67)/LN(2)</f>
        <v/>
      </c>
      <c r="F67" s="29">
        <f>VLOOKUP(A67,Key!$A$2:$B$982,2,FALSE)</f>
        <v/>
      </c>
    </row>
    <row r="68" ht="15.75" customHeight="1" s="71">
      <c r="A68" s="61" t="n">
        <v>66</v>
      </c>
      <c r="B68" s="29" t="inlineStr">
        <is>
          <t>55/7C</t>
        </is>
      </c>
      <c r="C68" s="29" t="n">
        <v>55</v>
      </c>
      <c r="D68" s="62" t="n">
        <v>56</v>
      </c>
      <c r="E68" s="60">
        <f>1200*LN($D68/$C68)/LN(2)</f>
        <v/>
      </c>
      <c r="F68" s="29">
        <f>VLOOKUP(A68,Key!$A$2:$B$982,2,FALSE)</f>
        <v/>
      </c>
    </row>
    <row r="69" ht="15.75" customHeight="1" s="71">
      <c r="A69" s="61" t="n">
        <v>67</v>
      </c>
      <c r="B69" s="29" t="inlineStr">
        <is>
          <t>55C</t>
        </is>
      </c>
      <c r="C69" s="29" t="n">
        <v>54</v>
      </c>
      <c r="D69" s="62" t="n">
        <v>55</v>
      </c>
      <c r="E69" s="60">
        <f>1200*LN($D69/$C69)/LN(2)</f>
        <v/>
      </c>
      <c r="F69" s="29">
        <f>VLOOKUP(A69,Key!$A$2:$B$982,2,FALSE)</f>
        <v/>
      </c>
    </row>
    <row r="70" ht="15.75" customHeight="1" s="71">
      <c r="A70" s="61" t="n">
        <v>68</v>
      </c>
      <c r="B70" s="29" t="inlineStr">
        <is>
          <t>11/91C</t>
        </is>
      </c>
      <c r="C70" s="29" t="n">
        <v>22113</v>
      </c>
      <c r="D70" s="62" t="n">
        <v>22528</v>
      </c>
      <c r="E70" s="60">
        <f>1200*LN($D70/$C70)/LN(2)</f>
        <v/>
      </c>
      <c r="F70" s="29">
        <f>VLOOKUP(A70,Key!$A$2:$B$982,2,FALSE)</f>
        <v/>
      </c>
    </row>
    <row r="71" ht="15.75" customHeight="1" s="71">
      <c r="A71" s="61" t="n">
        <v>69</v>
      </c>
      <c r="B71" s="29" t="inlineStr">
        <is>
          <t>125/23C</t>
        </is>
      </c>
      <c r="C71" s="29" t="n">
        <v>368</v>
      </c>
      <c r="D71" s="62" t="n">
        <v>375</v>
      </c>
      <c r="E71" s="60">
        <f>1200*LN($D71/$C71)/LN(2)</f>
        <v/>
      </c>
      <c r="F71" s="29">
        <f>VLOOKUP(A71,Key!$A$2:$B$982,2,FALSE)</f>
        <v/>
      </c>
    </row>
    <row r="72" ht="15.75" customHeight="1" s="71">
      <c r="A72" s="61" t="n">
        <v>70</v>
      </c>
      <c r="B72" s="29" t="inlineStr">
        <is>
          <t>7/11C</t>
        </is>
      </c>
      <c r="C72" s="29" t="n">
        <v>45056</v>
      </c>
      <c r="D72" s="62" t="n">
        <v>45927</v>
      </c>
      <c r="E72" s="60">
        <f>1200*LN($D72/$C72)/LN(2)</f>
        <v/>
      </c>
      <c r="F72" s="29">
        <f>VLOOKUP(A72,Key!$A$2:$B$982,2,FALSE)</f>
        <v/>
      </c>
    </row>
    <row r="73" ht="15.75" customHeight="1" s="71">
      <c r="A73" s="61" t="n">
        <v>71</v>
      </c>
      <c r="B73" s="29" t="inlineStr">
        <is>
          <t>13/17S</t>
        </is>
      </c>
      <c r="C73" s="29" t="n">
        <v>51</v>
      </c>
      <c r="D73" s="62" t="n">
        <v>52</v>
      </c>
      <c r="E73" s="60">
        <f>1200*LN($D73/$C73)/LN(2)</f>
        <v/>
      </c>
      <c r="F73" s="29">
        <f>VLOOKUP(A73,Key!$A$2:$B$982,2,FALSE)</f>
        <v/>
      </c>
    </row>
    <row r="74" ht="15.75" customHeight="1" s="71">
      <c r="A74" s="61" t="n">
        <v>72</v>
      </c>
      <c r="B74" s="29" t="inlineStr">
        <is>
          <t>17/25C</t>
        </is>
      </c>
      <c r="C74" s="29" t="n">
        <v>50</v>
      </c>
      <c r="D74" s="62" t="n">
        <v>51</v>
      </c>
      <c r="E74" s="60">
        <f>1200*LN($D74/$C74)/LN(2)</f>
        <v/>
      </c>
      <c r="F74" s="29">
        <f>VLOOKUP(A74,Key!$A$2:$B$982,2,FALSE)</f>
        <v/>
      </c>
    </row>
    <row r="75" ht="15.75" customHeight="1" s="71">
      <c r="A75" s="61" t="n">
        <v>73</v>
      </c>
      <c r="B75" s="29" t="inlineStr">
        <is>
          <t>7/247S</t>
        </is>
      </c>
      <c r="C75" s="29" t="n">
        <v>247</v>
      </c>
      <c r="D75" s="62" t="n">
        <v>252</v>
      </c>
      <c r="E75" s="60">
        <f>1200*LN($D75/$C75)/LN(2)</f>
        <v/>
      </c>
      <c r="F75" s="29">
        <f>VLOOKUP(A75,Key!$A$2:$B$982,2,FALSE)</f>
        <v/>
      </c>
    </row>
    <row r="76" ht="15.75" customHeight="1" s="71">
      <c r="A76" s="61" t="n">
        <v>74</v>
      </c>
      <c r="B76" s="29" t="inlineStr">
        <is>
          <t>25/49C</t>
        </is>
      </c>
      <c r="C76" s="29" t="n">
        <v>49</v>
      </c>
      <c r="D76" s="62" t="n">
        <v>50</v>
      </c>
      <c r="E76" s="60">
        <f>1200*LN($D76/$C76)/LN(2)</f>
        <v/>
      </c>
      <c r="F76" s="29">
        <f>VLOOKUP(A76,Key!$A$2:$B$982,2,FALSE)</f>
        <v/>
      </c>
    </row>
    <row r="77" ht="15.75" customHeight="1" s="71">
      <c r="A77" s="61" t="n">
        <v>75</v>
      </c>
      <c r="B77" s="29" t="inlineStr">
        <is>
          <t>31S</t>
        </is>
      </c>
      <c r="C77" s="29" t="n">
        <v>243</v>
      </c>
      <c r="D77" s="62" t="n">
        <v>248</v>
      </c>
      <c r="E77" s="60">
        <f>1200*LN($D77/$C77)/LN(2)</f>
        <v/>
      </c>
      <c r="F77" s="29">
        <f>VLOOKUP(A77,Key!$A$2:$B$982,2,FALSE)</f>
        <v/>
      </c>
    </row>
    <row r="78" ht="15.75" customHeight="1" s="71">
      <c r="A78" s="61" t="n">
        <v>76</v>
      </c>
      <c r="B78" s="29" t="inlineStr">
        <is>
          <t>49S</t>
        </is>
      </c>
      <c r="C78" s="29" t="n">
        <v>48</v>
      </c>
      <c r="D78" s="62" t="n">
        <v>49</v>
      </c>
      <c r="E78" s="60">
        <f>1200*LN($D78/$C78)/LN(2)</f>
        <v/>
      </c>
      <c r="F78" s="29">
        <f>VLOOKUP(A78,Key!$A$2:$B$982,2,FALSE)</f>
        <v/>
      </c>
    </row>
    <row r="79" ht="15.75" customHeight="1" s="71">
      <c r="A79" s="61" t="n">
        <v>77</v>
      </c>
      <c r="B79" s="29" t="inlineStr">
        <is>
          <t>17/5S</t>
        </is>
      </c>
      <c r="C79" s="29" t="n">
        <v>327680</v>
      </c>
      <c r="D79" s="62" t="n">
        <v>334611</v>
      </c>
      <c r="E79" s="60">
        <f>1200*LN($D79/$C79)/LN(2)</f>
        <v/>
      </c>
      <c r="F79" s="29">
        <f>VLOOKUP(A79,Key!$A$2:$B$982,2,FALSE)</f>
        <v/>
      </c>
    </row>
    <row r="80" ht="15.75" customHeight="1" s="71">
      <c r="A80" s="61" t="n">
        <v>78</v>
      </c>
      <c r="B80" s="29" t="inlineStr">
        <is>
          <t>11/23S</t>
        </is>
      </c>
      <c r="C80" s="29" t="n">
        <v>23552</v>
      </c>
      <c r="D80" s="62" t="n">
        <v>24057</v>
      </c>
      <c r="E80" s="60">
        <f>1200*LN($D80/$C80)/LN(2)</f>
        <v/>
      </c>
      <c r="F80" s="29">
        <f>VLOOKUP(A80,Key!$A$2:$B$982,2,FALSE)</f>
        <v/>
      </c>
    </row>
    <row r="81" ht="15.75" customHeight="1" s="71">
      <c r="A81" s="61" t="n">
        <v>79</v>
      </c>
      <c r="B81" s="29" t="inlineStr">
        <is>
          <t>1/11S</t>
        </is>
      </c>
      <c r="C81" s="29" t="n">
        <v>8019</v>
      </c>
      <c r="D81" s="62" t="n">
        <v>8192</v>
      </c>
      <c r="E81" s="60">
        <f>1200*LN($D81/$C81)/LN(2)</f>
        <v/>
      </c>
      <c r="F81" s="29">
        <f>VLOOKUP(A81,Key!$A$2:$B$982,2,FALSE)</f>
        <v/>
      </c>
    </row>
    <row r="82" ht="15.75" customHeight="1" s="71">
      <c r="A82" s="61" t="n">
        <v>80</v>
      </c>
      <c r="B82" s="29" t="inlineStr">
        <is>
          <t>245S</t>
        </is>
      </c>
      <c r="C82" s="29" t="n">
        <v>524288</v>
      </c>
      <c r="D82" s="62" t="n">
        <v>535815</v>
      </c>
      <c r="E82" s="60">
        <f>1200*LN($D82/$C82)/LN(2)</f>
        <v/>
      </c>
      <c r="F82" s="29">
        <f>VLOOKUP(A82,Key!$A$2:$B$982,2,FALSE)</f>
        <v/>
      </c>
    </row>
    <row r="83" ht="15.75" customHeight="1" s="71">
      <c r="A83" s="61" t="n">
        <v>81</v>
      </c>
      <c r="B83" s="29" t="inlineStr">
        <is>
          <t>23/5S</t>
        </is>
      </c>
      <c r="C83" s="29" t="n">
        <v>45</v>
      </c>
      <c r="D83" s="62" t="n">
        <v>46</v>
      </c>
      <c r="E83" s="60">
        <f>1200*LN($D83/$C83)/LN(2)</f>
        <v/>
      </c>
      <c r="F83" s="29">
        <f>VLOOKUP(A83,Key!$A$2:$B$982,2,FALSE)</f>
        <v/>
      </c>
    </row>
    <row r="84" ht="15.75" customHeight="1" s="71">
      <c r="A84" s="61" t="n">
        <v>82</v>
      </c>
      <c r="B84" s="29" t="inlineStr">
        <is>
          <t>7/13S</t>
        </is>
      </c>
      <c r="C84" s="29" t="n">
        <v>1664</v>
      </c>
      <c r="D84" s="62" t="n">
        <v>1701</v>
      </c>
      <c r="E84" s="60">
        <f>1200*LN($D84/$C84)/LN(2)</f>
        <v/>
      </c>
      <c r="F84" s="29">
        <f>VLOOKUP(A84,Key!$A$2:$B$982,2,FALSE)</f>
        <v/>
      </c>
    </row>
    <row r="85" ht="15.75" customHeight="1" s="71">
      <c r="A85" s="61" t="n">
        <v>83</v>
      </c>
      <c r="B85" s="29" t="inlineStr">
        <is>
          <t>11/17S</t>
        </is>
      </c>
      <c r="C85" s="29" t="n">
        <v>1377</v>
      </c>
      <c r="D85" s="62" t="n">
        <v>1408</v>
      </c>
      <c r="E85" s="60">
        <f>1200*LN($D85/$C85)/LN(2)</f>
        <v/>
      </c>
      <c r="F85" s="29">
        <f>VLOOKUP(A85,Key!$A$2:$B$982,2,FALSE)</f>
        <v/>
      </c>
    </row>
    <row r="86" ht="15.75" customHeight="1" s="71">
      <c r="A86" s="61" t="n">
        <v>84</v>
      </c>
      <c r="B86" s="29" t="inlineStr">
        <is>
          <t>5/11S</t>
        </is>
      </c>
      <c r="C86" s="29" t="n">
        <v>44</v>
      </c>
      <c r="D86" s="62" t="n">
        <v>45</v>
      </c>
      <c r="E86" s="60">
        <f>1200*LN($D86/$C86)/LN(2)</f>
        <v/>
      </c>
      <c r="F86" s="29">
        <f>VLOOKUP(A86,Key!$A$2:$B$982,2,FALSE)</f>
        <v/>
      </c>
    </row>
    <row r="87" ht="15.75" customHeight="1" s="71">
      <c r="A87" s="61" t="n">
        <v>85</v>
      </c>
      <c r="B87" s="29" t="inlineStr">
        <is>
          <t>1/1001S</t>
        </is>
      </c>
      <c r="C87" s="29" t="n">
        <v>1001</v>
      </c>
      <c r="D87" s="62" t="n">
        <v>1024</v>
      </c>
      <c r="E87" s="60">
        <f>1200*LN($D87/$C87)/LN(2)</f>
        <v/>
      </c>
      <c r="F87" s="29">
        <f>VLOOKUP(A87,Key!$A$2:$B$982,2,FALSE)</f>
        <v/>
      </c>
    </row>
    <row r="88" ht="15.75" customHeight="1" s="71">
      <c r="A88" s="61" t="n">
        <v>86</v>
      </c>
      <c r="B88" s="29" t="inlineStr">
        <is>
          <t>23S</t>
        </is>
      </c>
      <c r="C88" s="29" t="n">
        <v>16384</v>
      </c>
      <c r="D88" s="62" t="n">
        <v>16767</v>
      </c>
      <c r="E88" s="60">
        <f>1200*LN($D88/$C88)/LN(2)</f>
        <v/>
      </c>
      <c r="F88" s="29">
        <f>VLOOKUP(A88,Key!$A$2:$B$982,2,FALSE)</f>
        <v/>
      </c>
    </row>
    <row r="89" ht="15.75" customHeight="1" s="71">
      <c r="A89" s="61" t="n">
        <v>87</v>
      </c>
      <c r="B89" s="29" t="inlineStr">
        <is>
          <t>91/25S</t>
        </is>
      </c>
      <c r="C89" s="29" t="n">
        <v>800</v>
      </c>
      <c r="D89" s="62" t="n">
        <v>819</v>
      </c>
      <c r="E89" s="60">
        <f>1200*LN($D89/$C89)/LN(2)</f>
        <v/>
      </c>
      <c r="F89" s="29">
        <f>VLOOKUP(A89,Key!$A$2:$B$982,2,FALSE)</f>
        <v/>
      </c>
    </row>
    <row r="90" ht="15.75" customHeight="1" s="71">
      <c r="A90" s="61" t="n">
        <v>88</v>
      </c>
      <c r="B90" s="29" t="inlineStr">
        <is>
          <t>1/125S</t>
        </is>
      </c>
      <c r="C90" s="29" t="n">
        <v>125</v>
      </c>
      <c r="D90" s="62" t="n">
        <v>128</v>
      </c>
      <c r="E90" s="60">
        <f>1200*LN($D90/$C90)/LN(2)</f>
        <v/>
      </c>
      <c r="F90" s="29">
        <f>VLOOKUP(A90,Key!$A$2:$B$982,2,FALSE)</f>
        <v/>
      </c>
    </row>
    <row r="91" ht="15.75" customHeight="1" s="71">
      <c r="A91" s="61" t="n">
        <v>89</v>
      </c>
      <c r="B91" s="29" t="inlineStr">
        <is>
          <t>35S</t>
        </is>
      </c>
      <c r="C91" s="29" t="n">
        <v>2187</v>
      </c>
      <c r="D91" s="62" t="n">
        <v>2240</v>
      </c>
      <c r="E91" s="60">
        <f>1200*LN($D91/$C91)/LN(2)</f>
        <v/>
      </c>
      <c r="F91" s="29">
        <f>VLOOKUP(A91,Key!$A$2:$B$982,2,FALSE)</f>
        <v/>
      </c>
    </row>
    <row r="92" ht="15.75" customHeight="1" s="71">
      <c r="A92" s="61" t="n">
        <v>90</v>
      </c>
      <c r="B92" s="29" t="inlineStr">
        <is>
          <t>17/7S</t>
        </is>
      </c>
      <c r="C92" s="29" t="n">
        <v>448</v>
      </c>
      <c r="D92" s="62" t="n">
        <v>459</v>
      </c>
      <c r="E92" s="60">
        <f>1200*LN($D92/$C92)/LN(2)</f>
        <v/>
      </c>
      <c r="F92" s="29">
        <f>VLOOKUP(A92,Key!$A$2:$B$982,2,FALSE)</f>
        <v/>
      </c>
    </row>
    <row r="93" ht="15.75" customHeight="1" s="71">
      <c r="A93" s="61" t="n">
        <v>91</v>
      </c>
      <c r="B93" s="29" t="inlineStr">
        <is>
          <t>91/5S</t>
        </is>
      </c>
      <c r="C93" s="29" t="n">
        <v>5242880</v>
      </c>
      <c r="D93" s="62" t="n">
        <v>5373459</v>
      </c>
      <c r="E93" s="60">
        <f>1200*LN($D93/$C93)/LN(2)</f>
        <v/>
      </c>
      <c r="F93" s="29">
        <f>VLOOKUP(A93,Key!$A$2:$B$982,2,FALSE)</f>
        <v/>
      </c>
    </row>
    <row r="94" ht="15.75" customHeight="1" s="71">
      <c r="A94" s="61" t="n">
        <v>92</v>
      </c>
      <c r="B94" s="29" t="inlineStr">
        <is>
          <t>1/25S</t>
        </is>
      </c>
      <c r="C94" s="29" t="n">
        <v>6400</v>
      </c>
      <c r="D94" s="62" t="n">
        <v>6561</v>
      </c>
      <c r="E94" s="60">
        <f>1200*LN($D94/$C94)/LN(2)</f>
        <v/>
      </c>
      <c r="F94" s="29">
        <f>VLOOKUP(A94,Key!$A$2:$B$982,2,FALSE)</f>
        <v/>
      </c>
    </row>
    <row r="95" ht="15.75" customHeight="1" s="71">
      <c r="A95" s="61" t="n">
        <v>93</v>
      </c>
      <c r="B95" s="29" t="inlineStr">
        <is>
          <t>175S</t>
        </is>
      </c>
      <c r="C95" s="29" t="n">
        <v>512</v>
      </c>
      <c r="D95" s="62" t="n">
        <v>525</v>
      </c>
      <c r="E95" s="60">
        <f>1200*LN($D95/$C95)/LN(2)</f>
        <v/>
      </c>
      <c r="F95" s="29">
        <f>VLOOKUP(A95,Key!$A$2:$B$982,2,FALSE)</f>
        <v/>
      </c>
    </row>
    <row r="96" ht="15.75" customHeight="1" s="71">
      <c r="A96" s="61" t="n">
        <v>94</v>
      </c>
      <c r="B96" s="29" t="inlineStr">
        <is>
          <t>5/13S</t>
        </is>
      </c>
      <c r="C96" s="29" t="n">
        <v>39</v>
      </c>
      <c r="D96" s="62" t="n">
        <v>40</v>
      </c>
      <c r="E96" s="60">
        <f>1200*LN($D96/$C96)/LN(2)</f>
        <v/>
      </c>
      <c r="F96" s="29">
        <f>VLOOKUP(A96,Key!$A$2:$B$982,2,FALSE)</f>
        <v/>
      </c>
    </row>
    <row r="97" ht="15.75" customHeight="1" s="71">
      <c r="A97" s="61" t="n">
        <v>95</v>
      </c>
      <c r="B97" s="29" t="inlineStr">
        <is>
          <t>49/17S</t>
        </is>
      </c>
      <c r="C97" s="29" t="n">
        <v>34816</v>
      </c>
      <c r="D97" s="62" t="n">
        <v>35721</v>
      </c>
      <c r="E97" s="60">
        <f>1200*LN($D97/$C97)/LN(2)</f>
        <v/>
      </c>
      <c r="F97" s="29">
        <f>VLOOKUP(A97,Key!$A$2:$B$982,2,FALSE)</f>
        <v/>
      </c>
    </row>
    <row r="98" ht="15.75" customHeight="1" s="71">
      <c r="A98" s="61" t="n">
        <v>96</v>
      </c>
      <c r="B98" s="29" t="inlineStr">
        <is>
          <t>13/19S</t>
        </is>
      </c>
      <c r="C98" s="29" t="n">
        <v>38</v>
      </c>
      <c r="D98" s="62" t="n">
        <v>39</v>
      </c>
      <c r="E98" s="60">
        <f>1200*LN($D98/$C98)/LN(2)</f>
        <v/>
      </c>
      <c r="F98" s="29">
        <f>VLOOKUP(A98,Key!$A$2:$B$982,2,FALSE)</f>
        <v/>
      </c>
    </row>
    <row r="99" ht="15.75" customHeight="1" s="71">
      <c r="A99" s="61" t="n">
        <v>97</v>
      </c>
      <c r="B99" s="29" t="inlineStr">
        <is>
          <t>77/25M</t>
        </is>
      </c>
      <c r="C99" s="29" t="n">
        <v>75</v>
      </c>
      <c r="D99" s="62" t="n">
        <v>77</v>
      </c>
      <c r="E99" s="60">
        <f>1200*LN($D99/$C99)/LN(2)</f>
        <v/>
      </c>
      <c r="F99" s="29">
        <f>VLOOKUP(A99,Key!$A$2:$B$982,2,FALSE)</f>
        <v/>
      </c>
    </row>
    <row r="100" ht="15.75" customHeight="1" s="71">
      <c r="A100" s="61" t="n">
        <v>98</v>
      </c>
      <c r="B100" s="29" t="inlineStr">
        <is>
          <t>25/13M</t>
        </is>
      </c>
      <c r="C100" s="29" t="n">
        <v>53248</v>
      </c>
      <c r="D100" s="62" t="n">
        <v>54675</v>
      </c>
      <c r="E100" s="60">
        <f>1200*LN($D100/$C100)/LN(2)</f>
        <v/>
      </c>
      <c r="F100" s="29">
        <f>VLOOKUP(A100,Key!$A$2:$B$982,2,FALSE)</f>
        <v/>
      </c>
    </row>
    <row r="101" ht="15.75" customHeight="1" s="71">
      <c r="A101" s="61" t="n">
        <v>99</v>
      </c>
      <c r="B101" s="29" t="inlineStr">
        <is>
          <t>13/5M</t>
        </is>
      </c>
      <c r="C101" s="29" t="n">
        <v>405</v>
      </c>
      <c r="D101" s="62" t="n">
        <v>416</v>
      </c>
      <c r="E101" s="60">
        <f>1200*LN($D101/$C101)/LN(2)</f>
        <v/>
      </c>
      <c r="F101" s="29">
        <f>VLOOKUP(A101,Key!$A$2:$B$982,2,FALSE)</f>
        <v/>
      </c>
    </row>
    <row r="102" ht="15.75" customHeight="1" s="71">
      <c r="A102" s="61" t="n">
        <v>100</v>
      </c>
      <c r="B102" s="29" t="inlineStr">
        <is>
          <t>1/175M</t>
        </is>
      </c>
      <c r="C102" s="29" t="n">
        <v>127575</v>
      </c>
      <c r="D102" s="62" t="n">
        <v>131072</v>
      </c>
      <c r="E102" s="60">
        <f>1200*LN($D102/$C102)/LN(2)</f>
        <v/>
      </c>
      <c r="F102" s="29">
        <f>VLOOKUP(A102,Key!$A$2:$B$982,2,FALSE)</f>
        <v/>
      </c>
    </row>
    <row r="103" ht="15.75" customHeight="1" s="71">
      <c r="A103" s="61" t="n">
        <v>101</v>
      </c>
      <c r="B103" s="29" t="inlineStr">
        <is>
          <t>37M</t>
        </is>
      </c>
      <c r="C103" s="29" t="n">
        <v>36</v>
      </c>
      <c r="D103" s="62" t="n">
        <v>37</v>
      </c>
      <c r="E103" s="60">
        <f>1200*LN($D103/$C103)/LN(2)</f>
        <v/>
      </c>
      <c r="F103" s="29">
        <f>VLOOKUP(A103,Key!$A$2:$B$982,2,FALSE)</f>
        <v/>
      </c>
    </row>
    <row r="104" ht="15.75" customHeight="1" s="71">
      <c r="A104" s="61" t="n">
        <v>102</v>
      </c>
      <c r="B104" s="29" t="inlineStr">
        <is>
          <t>11/325M</t>
        </is>
      </c>
      <c r="C104" s="29" t="n">
        <v>18200</v>
      </c>
      <c r="D104" s="62" t="n">
        <v>18711</v>
      </c>
      <c r="E104" s="60">
        <f>1200*LN($D104/$C104)/LN(2)</f>
        <v/>
      </c>
      <c r="F104" s="29">
        <f>VLOOKUP(A104,Key!$A$2:$B$982,2,FALSE)</f>
        <v/>
      </c>
    </row>
    <row r="105" ht="15.75" customHeight="1" s="71">
      <c r="A105" s="61" t="n">
        <v>103</v>
      </c>
      <c r="B105" s="29" t="inlineStr">
        <is>
          <t>13M</t>
        </is>
      </c>
      <c r="C105" s="29" t="n">
        <v>1024</v>
      </c>
      <c r="D105" s="62" t="n">
        <v>1053</v>
      </c>
      <c r="E105" s="60">
        <f>1200*LN($D105/$C105)/LN(2)</f>
        <v/>
      </c>
      <c r="F105" s="29">
        <f>VLOOKUP(A105,Key!$A$2:$B$982,2,FALSE)</f>
        <v/>
      </c>
    </row>
    <row r="106" ht="15.75" customHeight="1" s="71">
      <c r="A106" s="61" t="n">
        <v>104</v>
      </c>
      <c r="B106" s="29" t="inlineStr">
        <is>
          <t>1/35M</t>
        </is>
      </c>
      <c r="C106" s="29" t="n">
        <v>35</v>
      </c>
      <c r="D106" s="62" t="n">
        <v>36</v>
      </c>
      <c r="E106" s="60">
        <f>1200*LN($D106/$C106)/LN(2)</f>
        <v/>
      </c>
      <c r="F106" s="29">
        <f>VLOOKUP(A106,Key!$A$2:$B$982,2,FALSE)</f>
        <v/>
      </c>
    </row>
    <row r="107" ht="15.75" customHeight="1" s="71">
      <c r="A107" s="61" t="n">
        <v>105</v>
      </c>
      <c r="B107" s="29" t="inlineStr">
        <is>
          <t>125M</t>
        </is>
      </c>
      <c r="C107" s="29" t="n">
        <v>243</v>
      </c>
      <c r="D107" s="62" t="n">
        <v>250</v>
      </c>
      <c r="E107" s="60">
        <f>1200*LN($D107/$C107)/LN(2)</f>
        <v/>
      </c>
      <c r="F107" s="29">
        <f>VLOOKUP(A107,Key!$A$2:$B$982,2,FALSE)</f>
        <v/>
      </c>
    </row>
    <row r="108" ht="15.75" customHeight="1" s="71">
      <c r="A108" s="61" t="n">
        <v>106</v>
      </c>
      <c r="B108" s="29" t="inlineStr">
        <is>
          <t>11/19M</t>
        </is>
      </c>
      <c r="C108" s="29" t="n">
        <v>171</v>
      </c>
      <c r="D108" s="62" t="n">
        <v>176</v>
      </c>
      <c r="E108" s="60">
        <f>1200*LN($D108/$C108)/LN(2)</f>
        <v/>
      </c>
      <c r="F108" s="29">
        <f>VLOOKUP(A108,Key!$A$2:$B$982,2,FALSE)</f>
        <v/>
      </c>
    </row>
    <row r="109" ht="15.75" customHeight="1" s="71">
      <c r="A109" s="61" t="n">
        <v>107</v>
      </c>
      <c r="B109" s="29" t="inlineStr">
        <is>
          <t>65M</t>
        </is>
      </c>
      <c r="C109" s="29" t="n">
        <v>33554432</v>
      </c>
      <c r="D109" s="62" t="n">
        <v>34543665</v>
      </c>
      <c r="E109" s="60">
        <f>1200*LN($D109/$C109)/LN(2)</f>
        <v/>
      </c>
      <c r="F109" s="29">
        <f>VLOOKUP(A109,Key!$A$2:$B$982,2,FALSE)</f>
        <v/>
      </c>
    </row>
    <row r="110" ht="15.75" customHeight="1" s="71">
      <c r="A110" s="61" t="n">
        <v>108</v>
      </c>
      <c r="B110" s="29" t="inlineStr">
        <is>
          <t>1/7M</t>
        </is>
      </c>
      <c r="C110" s="29" t="n">
        <v>57344</v>
      </c>
      <c r="D110" s="62" t="n">
        <v>59049</v>
      </c>
      <c r="E110" s="60">
        <f>1200*LN($D110/$C110)/LN(2)</f>
        <v/>
      </c>
      <c r="F110" s="29">
        <f>VLOOKUP(A110,Key!$A$2:$B$982,2,FALSE)</f>
        <v/>
      </c>
    </row>
    <row r="111" ht="15.75" customHeight="1" s="71">
      <c r="A111" s="61" t="n">
        <v>109</v>
      </c>
      <c r="B111" s="29" t="inlineStr">
        <is>
          <t>625M</t>
        </is>
      </c>
      <c r="C111" s="29" t="n">
        <v>16384</v>
      </c>
      <c r="D111" s="62" t="n">
        <v>16875</v>
      </c>
      <c r="E111" s="60">
        <f>1200*LN($D111/$C111)/LN(2)</f>
        <v/>
      </c>
      <c r="F111" s="29">
        <f>VLOOKUP(A111,Key!$A$2:$B$982,2,FALSE)</f>
        <v/>
      </c>
    </row>
    <row r="112" ht="15.75" customHeight="1" s="71">
      <c r="A112" s="61" t="n">
        <v>110</v>
      </c>
      <c r="B112" s="29" t="inlineStr">
        <is>
          <t>11/5M</t>
        </is>
      </c>
      <c r="C112" s="29" t="n">
        <v>10935</v>
      </c>
      <c r="D112" s="62" t="n">
        <v>11264</v>
      </c>
      <c r="E112" s="60">
        <f>1200*LN($D112/$C112)/LN(2)</f>
        <v/>
      </c>
      <c r="F112" s="29">
        <f>VLOOKUP(A112,Key!$A$2:$B$982,2,FALSE)</f>
        <v/>
      </c>
    </row>
    <row r="113" ht="15.75" customHeight="1" s="71">
      <c r="A113" s="61" t="n">
        <v>111</v>
      </c>
      <c r="B113" s="29" t="inlineStr">
        <is>
          <t>17/11M</t>
        </is>
      </c>
      <c r="C113" s="29" t="n">
        <v>33</v>
      </c>
      <c r="D113" s="62" t="n">
        <v>34</v>
      </c>
      <c r="E113" s="60">
        <f>1200*LN($D113/$C113)/LN(2)</f>
        <v/>
      </c>
      <c r="F113" s="29">
        <f>VLOOKUP(A113,Key!$A$2:$B$982,2,FALSE)</f>
        <v/>
      </c>
    </row>
    <row r="114" ht="15.75" customHeight="1" s="71">
      <c r="A114" s="61" t="n">
        <v>112</v>
      </c>
      <c r="B114" s="29" t="inlineStr">
        <is>
          <t>5/23M</t>
        </is>
      </c>
      <c r="C114" s="29" t="n">
        <v>621</v>
      </c>
      <c r="D114" s="62" t="n">
        <v>640</v>
      </c>
      <c r="E114" s="60">
        <f>1200*LN($D114/$C114)/LN(2)</f>
        <v/>
      </c>
      <c r="F114" s="29">
        <f>VLOOKUP(A114,Key!$A$2:$B$982,2,FALSE)</f>
        <v/>
      </c>
    </row>
    <row r="115" ht="15.75" customHeight="1" s="71">
      <c r="A115" s="61" t="n">
        <v>113</v>
      </c>
      <c r="B115" s="29" t="inlineStr">
        <is>
          <t>7/275M</t>
        </is>
      </c>
      <c r="C115" s="29" t="n">
        <v>550</v>
      </c>
      <c r="D115" s="62" t="n">
        <v>567</v>
      </c>
      <c r="E115" s="60">
        <f>1200*LN($D115/$C115)/LN(2)</f>
        <v/>
      </c>
      <c r="F115" s="29">
        <f>VLOOKUP(A115,Key!$A$2:$B$982,2,FALSE)</f>
        <v/>
      </c>
    </row>
    <row r="116" ht="15.75" customHeight="1" s="71">
      <c r="A116" s="61" t="n">
        <v>114</v>
      </c>
      <c r="B116" s="29" t="inlineStr">
        <is>
          <t>11M</t>
        </is>
      </c>
      <c r="C116" s="29" t="n">
        <v>32</v>
      </c>
      <c r="D116" s="62" t="n">
        <v>33</v>
      </c>
      <c r="E116" s="60">
        <f>1200*LN($D116/$C116)/LN(2)</f>
        <v/>
      </c>
      <c r="F116" s="29">
        <f>VLOOKUP(A116,Key!$A$2:$B$982,2,FALSE)</f>
        <v/>
      </c>
    </row>
    <row r="117" ht="15.75" customHeight="1" s="71">
      <c r="A117" s="61" t="n">
        <v>115</v>
      </c>
      <c r="B117" s="29" t="inlineStr">
        <is>
          <t>85/11M</t>
        </is>
      </c>
      <c r="C117" s="29" t="n">
        <v>180224</v>
      </c>
      <c r="D117" s="62" t="n">
        <v>185895</v>
      </c>
      <c r="E117" s="60">
        <f>1200*LN($D117/$C117)/LN(2)</f>
        <v/>
      </c>
      <c r="F117" s="29">
        <f>VLOOKUP(A117,Key!$A$2:$B$982,2,FALSE)</f>
        <v/>
      </c>
    </row>
    <row r="118" ht="15.75" customHeight="1" s="71">
      <c r="A118" s="61" t="n">
        <v>116</v>
      </c>
      <c r="B118" s="29" t="inlineStr">
        <is>
          <t>65/7M</t>
        </is>
      </c>
      <c r="C118" s="29" t="n">
        <v>63</v>
      </c>
      <c r="D118" s="62" t="n">
        <v>65</v>
      </c>
      <c r="E118" s="60">
        <f>1200*LN($D118/$C118)/LN(2)</f>
        <v/>
      </c>
      <c r="F118" s="29">
        <f>VLOOKUP(A118,Key!$A$2:$B$982,2,FALSE)</f>
        <v/>
      </c>
    </row>
    <row r="119" ht="15.75" customHeight="1" s="71">
      <c r="A119" s="61" t="n">
        <v>117</v>
      </c>
      <c r="B119" s="29" t="inlineStr">
        <is>
          <t>1/49M</t>
        </is>
      </c>
      <c r="C119" s="29" t="n">
        <v>3969</v>
      </c>
      <c r="D119" s="62" t="n">
        <v>4096</v>
      </c>
      <c r="E119" s="60">
        <f>1200*LN($D119/$C119)/LN(2)</f>
        <v/>
      </c>
      <c r="F119" s="29">
        <f>VLOOKUP(A119,Key!$A$2:$B$982,2,FALSE)</f>
        <v/>
      </c>
    </row>
    <row r="120" ht="15.75" customHeight="1" s="71">
      <c r="A120" s="61" t="n">
        <v>118</v>
      </c>
      <c r="B120" s="29" t="inlineStr">
        <is>
          <t>1/31M</t>
        </is>
      </c>
      <c r="C120" s="29" t="n">
        <v>31</v>
      </c>
      <c r="D120" s="62" t="n">
        <v>32</v>
      </c>
      <c r="E120" s="60">
        <f>1200*LN($D120/$C120)/LN(2)</f>
        <v/>
      </c>
      <c r="F120" s="29">
        <f>VLOOKUP(A120,Key!$A$2:$B$982,2,FALSE)</f>
        <v/>
      </c>
    </row>
    <row r="121" ht="15.75" customHeight="1" s="71">
      <c r="A121" s="61" t="n">
        <v>119</v>
      </c>
      <c r="B121" s="29" t="inlineStr">
        <is>
          <t>55M</t>
        </is>
      </c>
      <c r="C121" s="29" t="n">
        <v>1048576</v>
      </c>
      <c r="D121" s="62" t="n">
        <v>1082565</v>
      </c>
      <c r="E121" s="60">
        <f>1200*LN($D121/$C121)/LN(2)</f>
        <v/>
      </c>
      <c r="F121" s="29">
        <f>VLOOKUP(A121,Key!$A$2:$B$982,2,FALSE)</f>
        <v/>
      </c>
    </row>
    <row r="122" ht="15.75" customHeight="1" s="71">
      <c r="A122" s="61" t="n">
        <v>120</v>
      </c>
      <c r="B122" s="29" t="inlineStr">
        <is>
          <t>11/91M</t>
        </is>
      </c>
      <c r="C122" s="29" t="n">
        <v>23296</v>
      </c>
      <c r="D122" s="62" t="n">
        <v>24057</v>
      </c>
      <c r="E122" s="60">
        <f>1200*LN($D122/$C122)/LN(2)</f>
        <v/>
      </c>
      <c r="F122" s="29">
        <f>VLOOKUP(A122,Key!$A$2:$B$982,2,FALSE)</f>
        <v/>
      </c>
    </row>
    <row r="123" ht="15.75" customHeight="1" s="71">
      <c r="A123" s="61" t="n">
        <v>121</v>
      </c>
      <c r="B123" s="29" t="inlineStr">
        <is>
          <t>595M</t>
        </is>
      </c>
      <c r="C123" s="29" t="n">
        <v>576</v>
      </c>
      <c r="D123" s="62" t="n">
        <v>595</v>
      </c>
      <c r="E123" s="60">
        <f>1200*LN($D123/$C123)/LN(2)</f>
        <v/>
      </c>
      <c r="F123" s="29">
        <f>VLOOKUP(A123,Key!$A$2:$B$982,2,FALSE)</f>
        <v/>
      </c>
    </row>
    <row r="124" ht="15.75" customHeight="1" s="71">
      <c r="A124" s="61" t="n">
        <v>122</v>
      </c>
      <c r="B124" s="29" t="inlineStr">
        <is>
          <t>5/49M</t>
        </is>
      </c>
      <c r="C124" s="29" t="n">
        <v>392</v>
      </c>
      <c r="D124" s="62" t="n">
        <v>405</v>
      </c>
      <c r="E124" s="60">
        <f>1200*LN($D124/$C124)/LN(2)</f>
        <v/>
      </c>
      <c r="F124" s="29">
        <f>VLOOKUP(A124,Key!$A$2:$B$982,2,FALSE)</f>
        <v/>
      </c>
    </row>
    <row r="125" ht="15.75" customHeight="1" s="71">
      <c r="A125" s="61" t="n">
        <v>123</v>
      </c>
      <c r="B125" s="29" t="inlineStr">
        <is>
          <t>49/5L</t>
        </is>
      </c>
      <c r="C125" s="29" t="n">
        <v>1280</v>
      </c>
      <c r="D125" s="62" t="n">
        <v>1323</v>
      </c>
      <c r="E125" s="60">
        <f>1200*LN($D125/$C125)/LN(2)</f>
        <v/>
      </c>
      <c r="F125" s="29">
        <f>VLOOKUP(A125,Key!$A$2:$B$982,2,FALSE)</f>
        <v/>
      </c>
    </row>
    <row r="126" ht="15.75" customHeight="1" s="71">
      <c r="A126" s="61" t="n">
        <v>124</v>
      </c>
      <c r="B126" s="29" t="inlineStr">
        <is>
          <t>1/595L</t>
        </is>
      </c>
      <c r="C126" s="29" t="n">
        <v>19040</v>
      </c>
      <c r="D126" s="62" t="n">
        <v>19683</v>
      </c>
      <c r="E126" s="60">
        <f>1200*LN($D126/$C126)/LN(2)</f>
        <v/>
      </c>
      <c r="F126" s="29">
        <f>VLOOKUP(A126,Key!$A$2:$B$982,2,FALSE)</f>
        <v/>
      </c>
    </row>
    <row r="127" ht="15.75" customHeight="1" s="71">
      <c r="A127" s="61" t="n">
        <v>125</v>
      </c>
      <c r="B127" s="29" t="inlineStr">
        <is>
          <t>91/11L</t>
        </is>
      </c>
      <c r="C127" s="29" t="n">
        <v>88</v>
      </c>
      <c r="D127" s="62" t="n">
        <v>91</v>
      </c>
      <c r="E127" s="60">
        <f>1200*LN($D127/$C127)/LN(2)</f>
        <v/>
      </c>
      <c r="F127" s="29">
        <f>VLOOKUP(A127,Key!$A$2:$B$982,2,FALSE)</f>
        <v/>
      </c>
    </row>
    <row r="128" ht="15.75" customHeight="1" s="71">
      <c r="A128" s="61" t="n">
        <v>126</v>
      </c>
      <c r="B128" s="29" t="inlineStr">
        <is>
          <t>1/55L</t>
        </is>
      </c>
      <c r="C128" s="29" t="n">
        <v>495</v>
      </c>
      <c r="D128" s="62" t="n">
        <v>512</v>
      </c>
      <c r="E128" s="60">
        <f>1200*LN($D128/$C128)/LN(2)</f>
        <v/>
      </c>
      <c r="F128" s="29">
        <f>VLOOKUP(A128,Key!$A$2:$B$982,2,FALSE)</f>
        <v/>
      </c>
    </row>
    <row r="129" ht="15.75" customHeight="1" s="71">
      <c r="A129" s="61" t="n">
        <v>127</v>
      </c>
      <c r="B129" s="29" t="inlineStr">
        <is>
          <t>31L</t>
        </is>
      </c>
      <c r="C129" s="29" t="n">
        <v>65536</v>
      </c>
      <c r="D129" s="62" t="n">
        <v>67797</v>
      </c>
      <c r="E129" s="60">
        <f>1200*LN($D129/$C129)/LN(2)</f>
        <v/>
      </c>
      <c r="F129" s="29">
        <f>VLOOKUP(A129,Key!$A$2:$B$982,2,FALSE)</f>
        <v/>
      </c>
    </row>
    <row r="130" ht="15.75" customHeight="1" s="71">
      <c r="A130" s="61" t="n">
        <v>128</v>
      </c>
      <c r="B130" s="29" t="inlineStr">
        <is>
          <t>49L</t>
        </is>
      </c>
      <c r="C130" s="29" t="n">
        <v>8388608</v>
      </c>
      <c r="D130" s="62" t="n">
        <v>8680203</v>
      </c>
      <c r="E130" s="60">
        <f>1200*LN($D130/$C130)/LN(2)</f>
        <v/>
      </c>
      <c r="F130" s="29">
        <f>VLOOKUP(A130,Key!$A$2:$B$982,2,FALSE)</f>
        <v/>
      </c>
    </row>
    <row r="131" ht="15.75" customHeight="1" s="71">
      <c r="A131" s="61" t="n">
        <v>129</v>
      </c>
      <c r="B131" s="29" t="inlineStr">
        <is>
          <t>7/65L</t>
        </is>
      </c>
      <c r="C131" s="29" t="n">
        <v>133120</v>
      </c>
      <c r="D131" s="62" t="n">
        <v>137781</v>
      </c>
      <c r="E131" s="60">
        <f>1200*LN($D131/$C131)/LN(2)</f>
        <v/>
      </c>
      <c r="F131" s="29">
        <f>VLOOKUP(A131,Key!$A$2:$B$982,2,FALSE)</f>
        <v/>
      </c>
    </row>
    <row r="132" ht="15.75" customHeight="1" s="71">
      <c r="A132" s="61" t="n">
        <v>130</v>
      </c>
      <c r="B132" s="29" t="inlineStr">
        <is>
          <t>11/85L</t>
        </is>
      </c>
      <c r="C132" s="29" t="n">
        <v>85</v>
      </c>
      <c r="D132" s="62" t="n">
        <v>88</v>
      </c>
      <c r="E132" s="60">
        <f>1200*LN($D132/$C132)/LN(2)</f>
        <v/>
      </c>
      <c r="F132" s="29">
        <f>VLOOKUP(A132,Key!$A$2:$B$982,2,FALSE)</f>
        <v/>
      </c>
    </row>
    <row r="133" ht="15.75" customHeight="1" s="71">
      <c r="A133" s="61" t="n">
        <v>131</v>
      </c>
      <c r="B133" s="29" t="inlineStr">
        <is>
          <t>1/11L</t>
        </is>
      </c>
      <c r="C133" s="29" t="n">
        <v>704</v>
      </c>
      <c r="D133" s="62" t="n">
        <v>729</v>
      </c>
      <c r="E133" s="60">
        <f>1200*LN($D133/$C133)/LN(2)</f>
        <v/>
      </c>
      <c r="F133" s="29">
        <f>VLOOKUP(A133,Key!$A$2:$B$982,2,FALSE)</f>
        <v/>
      </c>
    </row>
    <row r="134" ht="15.75" customHeight="1" s="71">
      <c r="A134" s="61" t="n">
        <v>132</v>
      </c>
      <c r="B134" s="29" t="inlineStr">
        <is>
          <t>275/7L</t>
        </is>
      </c>
      <c r="C134" s="29" t="n">
        <v>7168</v>
      </c>
      <c r="D134" s="62" t="n">
        <v>7425</v>
      </c>
      <c r="E134" s="60">
        <f>1200*LN($D134/$C134)/LN(2)</f>
        <v/>
      </c>
      <c r="F134" s="29">
        <f>VLOOKUP(A134,Key!$A$2:$B$982,2,FALSE)</f>
        <v/>
      </c>
    </row>
    <row r="135" ht="15.75" customHeight="1" s="71">
      <c r="A135" s="61" t="n">
        <v>133</v>
      </c>
      <c r="B135" s="29" t="inlineStr">
        <is>
          <t>23/5L</t>
        </is>
      </c>
      <c r="C135" s="29" t="n">
        <v>1310720</v>
      </c>
      <c r="D135" s="62" t="n">
        <v>1358127</v>
      </c>
      <c r="E135" s="60">
        <f>1200*LN($D135/$C135)/LN(2)</f>
        <v/>
      </c>
      <c r="F135" s="29">
        <f>VLOOKUP(A135,Key!$A$2:$B$982,2,FALSE)</f>
        <v/>
      </c>
    </row>
    <row r="136" ht="15.75" customHeight="1" s="71">
      <c r="A136" s="61" t="n">
        <v>134</v>
      </c>
      <c r="B136" s="29" t="inlineStr">
        <is>
          <t>11/17L</t>
        </is>
      </c>
      <c r="C136" s="29" t="n">
        <v>69632</v>
      </c>
      <c r="D136" s="62" t="n">
        <v>72171</v>
      </c>
      <c r="E136" s="60">
        <f>1200*LN($D136/$C136)/LN(2)</f>
        <v/>
      </c>
      <c r="F136" s="29">
        <f>VLOOKUP(A136,Key!$A$2:$B$982,2,FALSE)</f>
        <v/>
      </c>
    </row>
    <row r="137" ht="15.75" customHeight="1" s="71">
      <c r="A137" s="61" t="n">
        <v>135</v>
      </c>
      <c r="B137" s="29" t="inlineStr">
        <is>
          <t>5/11L</t>
        </is>
      </c>
      <c r="C137" s="29" t="n">
        <v>23068672</v>
      </c>
      <c r="D137" s="62" t="n">
        <v>23914845</v>
      </c>
      <c r="E137" s="60">
        <f>1200*LN($D137/$C137)/LN(2)</f>
        <v/>
      </c>
      <c r="F137" s="29">
        <f>VLOOKUP(A137,Key!$A$2:$B$982,2,FALSE)</f>
        <v/>
      </c>
    </row>
    <row r="138" ht="15.75" customHeight="1" s="71">
      <c r="A138" s="61" t="n">
        <v>136</v>
      </c>
      <c r="B138" s="29" t="inlineStr">
        <is>
          <t>1/625L</t>
        </is>
      </c>
      <c r="C138" s="29" t="n">
        <v>625</v>
      </c>
      <c r="D138" s="62" t="n">
        <v>648</v>
      </c>
      <c r="E138" s="60">
        <f>1200*LN($D138/$C138)/LN(2)</f>
        <v/>
      </c>
      <c r="F138" s="29">
        <f>VLOOKUP(A138,Key!$A$2:$B$982,2,FALSE)</f>
        <v/>
      </c>
    </row>
    <row r="139" ht="15.75" customHeight="1" s="71">
      <c r="A139" s="61" t="n">
        <v>137</v>
      </c>
      <c r="B139" s="29" t="inlineStr">
        <is>
          <t>7L</t>
        </is>
      </c>
      <c r="C139" s="29" t="n">
        <v>27</v>
      </c>
      <c r="D139" s="62" t="n">
        <v>28</v>
      </c>
      <c r="E139" s="60">
        <f>1200*LN($D139/$C139)/LN(2)</f>
        <v/>
      </c>
      <c r="F139" s="29">
        <f>VLOOKUP(A139,Key!$A$2:$B$982,2,FALSE)</f>
        <v/>
      </c>
    </row>
    <row r="140" ht="15.75" customHeight="1" s="71">
      <c r="A140" s="61" t="n">
        <v>138</v>
      </c>
      <c r="B140" s="29" t="inlineStr">
        <is>
          <t>1/65L</t>
        </is>
      </c>
      <c r="C140" s="29" t="n">
        <v>15795</v>
      </c>
      <c r="D140" s="62" t="n">
        <v>16384</v>
      </c>
      <c r="E140" s="60">
        <f>1200*LN($D140/$C140)/LN(2)</f>
        <v/>
      </c>
      <c r="F140" s="29">
        <f>VLOOKUP(A140,Key!$A$2:$B$982,2,FALSE)</f>
        <v/>
      </c>
    </row>
    <row r="141" ht="15.75" customHeight="1" s="71">
      <c r="A141" s="61" t="n">
        <v>139</v>
      </c>
      <c r="B141" s="29" t="inlineStr">
        <is>
          <t>19/11L</t>
        </is>
      </c>
      <c r="C141" s="29" t="n">
        <v>360448</v>
      </c>
      <c r="D141" s="62" t="n">
        <v>373977</v>
      </c>
      <c r="E141" s="60">
        <f>1200*LN($D141/$C141)/LN(2)</f>
        <v/>
      </c>
      <c r="F141" s="29">
        <f>VLOOKUP(A141,Key!$A$2:$B$982,2,FALSE)</f>
        <v/>
      </c>
    </row>
    <row r="142" ht="15.75" customHeight="1" s="71">
      <c r="A142" s="61" t="n">
        <v>140</v>
      </c>
      <c r="B142" s="29" t="inlineStr">
        <is>
          <t>1/125L</t>
        </is>
      </c>
      <c r="C142" s="29" t="n">
        <v>512000</v>
      </c>
      <c r="D142" s="62" t="n">
        <v>531441</v>
      </c>
      <c r="E142" s="60">
        <f>1200*LN($D142/$C142)/LN(2)</f>
        <v/>
      </c>
      <c r="F142" s="29">
        <f>VLOOKUP(A142,Key!$A$2:$B$982,2,FALSE)</f>
        <v/>
      </c>
    </row>
    <row r="143" ht="15.75" customHeight="1" s="71">
      <c r="A143" s="61" t="n">
        <v>141</v>
      </c>
      <c r="B143" s="29" t="inlineStr">
        <is>
          <t>35L</t>
        </is>
      </c>
      <c r="C143" s="29" t="n">
        <v>8192</v>
      </c>
      <c r="D143" s="62" t="n">
        <v>8505</v>
      </c>
      <c r="E143" s="60">
        <f>1200*LN($D143/$C143)/LN(2)</f>
        <v/>
      </c>
      <c r="F143" s="29">
        <f>VLOOKUP(A143,Key!$A$2:$B$982,2,FALSE)</f>
        <v/>
      </c>
    </row>
    <row r="144" ht="15.75" customHeight="1" s="71">
      <c r="A144" s="61" t="n">
        <v>142</v>
      </c>
      <c r="B144" s="29" t="inlineStr">
        <is>
          <t>1/13L</t>
        </is>
      </c>
      <c r="C144" s="29" t="n">
        <v>26</v>
      </c>
      <c r="D144" s="62" t="n">
        <v>27</v>
      </c>
      <c r="E144" s="60">
        <f>1200*LN($D144/$C144)/LN(2)</f>
        <v/>
      </c>
      <c r="F144" s="29">
        <f>VLOOKUP(A144,Key!$A$2:$B$982,2,FALSE)</f>
        <v/>
      </c>
    </row>
    <row r="145" ht="15.75" customHeight="1" s="71">
      <c r="A145" s="61" t="n">
        <v>143</v>
      </c>
      <c r="B145" s="29" t="inlineStr">
        <is>
          <t>325/11L</t>
        </is>
      </c>
      <c r="C145" s="29" t="n">
        <v>2816</v>
      </c>
      <c r="D145" s="62" t="n">
        <v>2925</v>
      </c>
      <c r="E145" s="60">
        <f>1200*LN($D145/$C145)/LN(2)</f>
        <v/>
      </c>
      <c r="F145" s="29">
        <f>VLOOKUP(A145,Key!$A$2:$B$982,2,FALSE)</f>
        <v/>
      </c>
    </row>
    <row r="146" ht="15.75" customHeight="1" s="71">
      <c r="A146" s="61" t="n">
        <v>144</v>
      </c>
      <c r="B146" s="29" t="inlineStr">
        <is>
          <t>1/37L</t>
        </is>
      </c>
      <c r="C146" s="29" t="n">
        <v>18944</v>
      </c>
      <c r="D146" s="62" t="n">
        <v>19683</v>
      </c>
      <c r="E146" s="60">
        <f>1200*LN($D146/$C146)/LN(2)</f>
        <v/>
      </c>
      <c r="F146" s="29">
        <f>VLOOKUP(A146,Key!$A$2:$B$982,2,FALSE)</f>
        <v/>
      </c>
    </row>
    <row r="147" ht="15.75" customHeight="1" s="71">
      <c r="A147" s="61" t="n">
        <v>145</v>
      </c>
      <c r="B147" s="29" t="inlineStr">
        <is>
          <t>175L</t>
        </is>
      </c>
      <c r="C147" s="29" t="n">
        <v>268435456</v>
      </c>
      <c r="D147" s="62" t="n">
        <v>279006525</v>
      </c>
      <c r="E147" s="60">
        <f>1200*LN($D147/$C147)/LN(2)</f>
        <v/>
      </c>
      <c r="F147" s="29">
        <f>VLOOKUP(A147,Key!$A$2:$B$982,2,FALSE)</f>
        <v/>
      </c>
    </row>
    <row r="148" ht="15.75" customHeight="1" s="71">
      <c r="A148" s="61" t="n">
        <v>146</v>
      </c>
      <c r="B148" s="29" t="inlineStr">
        <is>
          <t>5/13L</t>
        </is>
      </c>
      <c r="C148" s="29" t="n">
        <v>851968</v>
      </c>
      <c r="D148" s="62" t="n">
        <v>885735</v>
      </c>
      <c r="E148" s="60">
        <f>1200*LN($D148/$C148)/LN(2)</f>
        <v/>
      </c>
      <c r="F148" s="29">
        <f>VLOOKUP(A148,Key!$A$2:$B$982,2,FALSE)</f>
        <v/>
      </c>
    </row>
    <row r="149" ht="15.75" customHeight="1" s="71">
      <c r="A149" s="61" t="n">
        <v>147</v>
      </c>
      <c r="B149" s="29" t="inlineStr">
        <is>
          <t>13/25L</t>
        </is>
      </c>
      <c r="C149" s="29" t="n">
        <v>25</v>
      </c>
      <c r="D149" s="62" t="n">
        <v>26</v>
      </c>
      <c r="E149" s="60">
        <f>1200*LN($D149/$C149)/LN(2)</f>
        <v/>
      </c>
      <c r="F149" s="29">
        <f>VLOOKUP(A149,Key!$A$2:$B$982,2,FALSE)</f>
        <v/>
      </c>
    </row>
    <row r="150" ht="15.75" customHeight="1" s="71">
      <c r="A150" s="61" t="n">
        <v>148</v>
      </c>
      <c r="B150" s="50" t="inlineStr">
        <is>
          <t>25/77L</t>
        </is>
      </c>
      <c r="C150" s="29" t="n">
        <v>164025</v>
      </c>
      <c r="D150" s="62" t="n">
        <v>157696</v>
      </c>
      <c r="E150" s="63" t="n">
        <v>68.12358581888741</v>
      </c>
      <c r="F150" s="50" t="inlineStr">
        <is>
          <t>``)|\\</t>
        </is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98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3984375" defaultRowHeight="15" customHeight="1"/>
  <cols>
    <col width="9.19921875" customWidth="1" style="71" min="1" max="3"/>
    <col width="8.3984375" customWidth="1" style="71" min="4" max="5"/>
  </cols>
  <sheetData>
    <row r="1" ht="24" customHeight="1" s="71">
      <c r="A1" s="64" t="inlineStr">
        <is>
          <t>Key</t>
        </is>
      </c>
      <c r="B1" s="64" t="inlineStr">
        <is>
          <t>Mixed Symbol</t>
        </is>
      </c>
      <c r="C1" s="64" t="inlineStr">
        <is>
          <t>Pure Symbol</t>
        </is>
      </c>
      <c r="D1" s="64" t="inlineStr">
        <is>
          <t>Mixed Unicode</t>
        </is>
      </c>
      <c r="E1" s="64" t="inlineStr">
        <is>
          <t>Pure Unicode</t>
        </is>
      </c>
    </row>
    <row r="2" ht="28.5" customHeight="1" s="71">
      <c r="A2" s="68" t="n">
        <v>0</v>
      </c>
      <c r="B2" s="68" t="inlineStr">
        <is>
          <t xml:space="preserve"> </t>
        </is>
      </c>
      <c r="C2" s="68" t="inlineStr">
        <is>
          <t xml:space="preserve"> </t>
        </is>
      </c>
      <c r="D2" s="66" t="inlineStr"/>
      <c r="E2" s="66" t="inlineStr"/>
    </row>
    <row r="3" ht="28.5" customHeight="1" s="71">
      <c r="A3" s="68" t="n">
        <v>1</v>
      </c>
      <c r="B3" s="68" t="inlineStr">
        <is>
          <t>`|</t>
        </is>
      </c>
      <c r="C3" s="68" t="inlineStr">
        <is>
          <t>`|</t>
        </is>
      </c>
      <c r="D3" s="66" t="inlineStr">
        <is>
          <t> </t>
        </is>
      </c>
      <c r="E3" s="66" t="inlineStr">
        <is>
          <t> </t>
        </is>
      </c>
    </row>
    <row r="4" ht="28.5" customHeight="1" s="71">
      <c r="A4" s="68" t="n">
        <v>2</v>
      </c>
      <c r="B4" s="68" t="inlineStr">
        <is>
          <t>``|</t>
        </is>
      </c>
      <c r="C4" s="68" t="inlineStr">
        <is>
          <t>``|</t>
        </is>
      </c>
      <c r="D4" s="66" t="inlineStr">
        <is>
          <t> </t>
        </is>
      </c>
      <c r="E4" s="66" t="inlineStr">
        <is>
          <t> </t>
        </is>
      </c>
    </row>
    <row r="5" ht="28.5" customHeight="1" s="71">
      <c r="A5" s="68" t="n">
        <v>3</v>
      </c>
      <c r="B5" s="68" t="inlineStr">
        <is>
          <t>.)|</t>
        </is>
      </c>
      <c r="C5" s="68" t="inlineStr">
        <is>
          <t>.)|</t>
        </is>
      </c>
      <c r="D5" s="66" t="inlineStr">
        <is>
          <t> </t>
        </is>
      </c>
      <c r="E5" s="66" t="inlineStr">
        <is>
          <t> </t>
        </is>
      </c>
    </row>
    <row r="6" ht="28.5" customHeight="1" s="71">
      <c r="A6" s="68" t="n">
        <v>4</v>
      </c>
      <c r="B6" s="67" t="inlineStr">
        <is>
          <t>'|</t>
        </is>
      </c>
      <c r="C6" s="67" t="inlineStr">
        <is>
          <t>'|</t>
        </is>
      </c>
      <c r="D6" s="66" t="inlineStr">
        <is>
          <t> </t>
        </is>
      </c>
      <c r="E6" s="66" t="inlineStr">
        <is>
          <t> </t>
        </is>
      </c>
    </row>
    <row r="7" ht="28.5" customHeight="1" s="71">
      <c r="A7" s="68" t="n">
        <v>5</v>
      </c>
      <c r="B7" s="68" t="inlineStr">
        <is>
          <t>`'|</t>
        </is>
      </c>
      <c r="C7" s="68" t="inlineStr">
        <is>
          <t>`'|</t>
        </is>
      </c>
      <c r="D7" s="66" t="inlineStr">
        <is>
          <t>  </t>
        </is>
      </c>
      <c r="E7" s="66" t="inlineStr">
        <is>
          <t>  </t>
        </is>
      </c>
    </row>
    <row r="8" ht="28.5" customHeight="1" s="71">
      <c r="A8" s="68" t="n">
        <v>6</v>
      </c>
      <c r="B8" s="68" t="inlineStr">
        <is>
          <t>,)|</t>
        </is>
      </c>
      <c r="C8" s="68" t="inlineStr">
        <is>
          <t>,)|</t>
        </is>
      </c>
      <c r="D8" s="66" t="inlineStr">
        <is>
          <t> </t>
        </is>
      </c>
      <c r="E8" s="66" t="inlineStr">
        <is>
          <t> </t>
        </is>
      </c>
    </row>
    <row r="9" ht="28.5" customHeight="1" s="71">
      <c r="A9" s="68" t="n">
        <v>7</v>
      </c>
      <c r="B9" s="68" t="inlineStr">
        <is>
          <t>)|</t>
        </is>
      </c>
      <c r="C9" s="68" t="inlineStr">
        <is>
          <t>)|</t>
        </is>
      </c>
      <c r="D9" s="66" t="inlineStr">
        <is>
          <t></t>
        </is>
      </c>
      <c r="E9" s="66" t="inlineStr">
        <is>
          <t></t>
        </is>
      </c>
    </row>
    <row r="10" ht="28.5" customHeight="1" s="71">
      <c r="A10" s="68" t="n">
        <v>8</v>
      </c>
      <c r="B10" s="68" t="inlineStr">
        <is>
          <t>`)|</t>
        </is>
      </c>
      <c r="C10" s="68" t="inlineStr">
        <is>
          <t>`)|</t>
        </is>
      </c>
      <c r="D10" s="66" t="inlineStr">
        <is>
          <t> </t>
        </is>
      </c>
      <c r="E10" s="66" t="inlineStr">
        <is>
          <t> </t>
        </is>
      </c>
    </row>
    <row r="11" ht="28.5" customHeight="1" s="71">
      <c r="A11" s="68" t="n">
        <v>9</v>
      </c>
      <c r="B11" s="68" t="inlineStr">
        <is>
          <t>``)|</t>
        </is>
      </c>
      <c r="C11" s="68" t="inlineStr">
        <is>
          <t>``)|</t>
        </is>
      </c>
      <c r="D11" s="66" t="inlineStr">
        <is>
          <t> </t>
        </is>
      </c>
      <c r="E11" s="66" t="inlineStr">
        <is>
          <t> </t>
        </is>
      </c>
    </row>
    <row r="12" ht="28.5" customHeight="1" s="71">
      <c r="A12" s="68" t="n">
        <v>10</v>
      </c>
      <c r="B12" s="68" t="inlineStr">
        <is>
          <t>,,|(</t>
        </is>
      </c>
      <c r="C12" s="68" t="inlineStr">
        <is>
          <t>,,|(</t>
        </is>
      </c>
      <c r="D12" s="66" t="inlineStr">
        <is>
          <t> </t>
        </is>
      </c>
      <c r="E12" s="66" t="inlineStr">
        <is>
          <t> </t>
        </is>
      </c>
    </row>
    <row r="13" ht="28.5" customHeight="1" s="71">
      <c r="A13" s="68" t="n">
        <v>11</v>
      </c>
      <c r="B13" s="68" t="inlineStr">
        <is>
          <t>,|(</t>
        </is>
      </c>
      <c r="C13" s="68" t="inlineStr">
        <is>
          <t>,|(</t>
        </is>
      </c>
      <c r="D13" s="66" t="inlineStr">
        <is>
          <t> </t>
        </is>
      </c>
      <c r="E13" s="66" t="inlineStr">
        <is>
          <t> </t>
        </is>
      </c>
    </row>
    <row r="14" ht="28.5" customHeight="1" s="71">
      <c r="A14" s="68" t="n">
        <v>12</v>
      </c>
      <c r="B14" s="68" t="inlineStr">
        <is>
          <t>|(</t>
        </is>
      </c>
      <c r="C14" s="68" t="inlineStr">
        <is>
          <t>|(</t>
        </is>
      </c>
      <c r="D14" s="66" t="inlineStr">
        <is>
          <t></t>
        </is>
      </c>
      <c r="E14" s="66" t="inlineStr">
        <is>
          <t></t>
        </is>
      </c>
    </row>
    <row r="15" ht="28.5" customHeight="1" s="71">
      <c r="A15" s="68" t="n">
        <v>13</v>
      </c>
      <c r="B15" s="68" t="inlineStr">
        <is>
          <t>`|(</t>
        </is>
      </c>
      <c r="C15" s="68" t="inlineStr">
        <is>
          <t>`|(</t>
        </is>
      </c>
      <c r="D15" s="66" t="inlineStr">
        <is>
          <t> </t>
        </is>
      </c>
      <c r="E15" s="66" t="inlineStr">
        <is>
          <t> </t>
        </is>
      </c>
    </row>
    <row r="16" ht="28.5" customHeight="1" s="71">
      <c r="A16" s="68" t="n">
        <v>14</v>
      </c>
      <c r="B16" s="68" t="inlineStr">
        <is>
          <t>.~|</t>
        </is>
      </c>
      <c r="C16" s="68" t="inlineStr">
        <is>
          <t>.~|</t>
        </is>
      </c>
      <c r="D16" s="66" t="inlineStr">
        <is>
          <t> </t>
        </is>
      </c>
      <c r="E16" s="66" t="inlineStr">
        <is>
          <t> </t>
        </is>
      </c>
    </row>
    <row r="17" ht="28.5" customHeight="1" s="71">
      <c r="A17" s="68" t="n">
        <v>15</v>
      </c>
      <c r="B17" s="68" t="inlineStr">
        <is>
          <t>,'|(</t>
        </is>
      </c>
      <c r="C17" s="68" t="inlineStr">
        <is>
          <t>,'|(</t>
        </is>
      </c>
      <c r="D17" s="66" t="inlineStr">
        <is>
          <t>  </t>
        </is>
      </c>
      <c r="E17" s="66" t="inlineStr">
        <is>
          <t>  </t>
        </is>
      </c>
    </row>
    <row r="18" ht="28.5" customHeight="1" s="71">
      <c r="A18" s="68" t="n">
        <v>16</v>
      </c>
      <c r="B18" s="68" t="inlineStr">
        <is>
          <t>'|(</t>
        </is>
      </c>
      <c r="C18" s="68" t="inlineStr">
        <is>
          <t>'|(</t>
        </is>
      </c>
      <c r="D18" s="66" t="inlineStr">
        <is>
          <t> </t>
        </is>
      </c>
      <c r="E18" s="66" t="inlineStr">
        <is>
          <t> </t>
        </is>
      </c>
    </row>
    <row r="19" ht="28.5" customHeight="1" s="71">
      <c r="A19" s="68" t="n">
        <v>17</v>
      </c>
      <c r="B19" s="68" t="inlineStr">
        <is>
          <t>,~|</t>
        </is>
      </c>
      <c r="C19" s="68" t="inlineStr">
        <is>
          <t>,~|</t>
        </is>
      </c>
      <c r="D19" s="66" t="inlineStr">
        <is>
          <t> </t>
        </is>
      </c>
      <c r="E19" s="66" t="inlineStr">
        <is>
          <t> </t>
        </is>
      </c>
    </row>
    <row r="20" ht="28.5" customHeight="1" s="71">
      <c r="A20" s="68" t="n">
        <v>18</v>
      </c>
      <c r="B20" s="68" t="inlineStr">
        <is>
          <t>~|</t>
        </is>
      </c>
      <c r="C20" s="68" t="inlineStr">
        <is>
          <t>~|</t>
        </is>
      </c>
      <c r="D20" s="66" t="inlineStr">
        <is>
          <t></t>
        </is>
      </c>
      <c r="E20" s="66" t="inlineStr">
        <is>
          <t></t>
        </is>
      </c>
    </row>
    <row r="21" ht="28.5" customHeight="1" s="71">
      <c r="A21" s="68" t="n">
        <v>19</v>
      </c>
      <c r="B21" s="68" t="inlineStr">
        <is>
          <t>,)|(</t>
        </is>
      </c>
      <c r="C21" s="68" t="inlineStr">
        <is>
          <t>,)|(</t>
        </is>
      </c>
      <c r="D21" s="66" t="inlineStr">
        <is>
          <t> </t>
        </is>
      </c>
      <c r="E21" s="66" t="inlineStr">
        <is>
          <t> </t>
        </is>
      </c>
    </row>
    <row r="22" ht="28.5" customHeight="1" s="71">
      <c r="A22" s="68" t="n">
        <v>20</v>
      </c>
      <c r="B22" s="68" t="inlineStr">
        <is>
          <t>)|(</t>
        </is>
      </c>
      <c r="C22" s="68" t="inlineStr">
        <is>
          <t>)|(</t>
        </is>
      </c>
      <c r="D22" s="66" t="inlineStr">
        <is>
          <t></t>
        </is>
      </c>
      <c r="E22" s="66" t="inlineStr">
        <is>
          <t></t>
        </is>
      </c>
    </row>
    <row r="23" ht="28.5" customHeight="1" s="71">
      <c r="A23" s="68" t="n">
        <v>21</v>
      </c>
      <c r="B23" s="68" t="inlineStr">
        <is>
          <t>`)|(</t>
        </is>
      </c>
      <c r="C23" s="68" t="inlineStr">
        <is>
          <t>`)|(</t>
        </is>
      </c>
      <c r="D23" s="66" t="inlineStr">
        <is>
          <t> </t>
        </is>
      </c>
      <c r="E23" s="66" t="inlineStr">
        <is>
          <t> </t>
        </is>
      </c>
    </row>
    <row r="24" ht="28.5" customHeight="1" s="71">
      <c r="A24" s="68" t="n">
        <v>22</v>
      </c>
      <c r="B24" s="68" t="inlineStr">
        <is>
          <t>``)|(</t>
        </is>
      </c>
      <c r="C24" s="68" t="inlineStr">
        <is>
          <t>``)|(</t>
        </is>
      </c>
      <c r="D24" s="66" t="inlineStr">
        <is>
          <t> </t>
        </is>
      </c>
      <c r="E24" s="66" t="inlineStr">
        <is>
          <t> </t>
        </is>
      </c>
    </row>
    <row r="25" ht="28.5" customHeight="1" s="71">
      <c r="A25" s="68" t="n">
        <v>23</v>
      </c>
      <c r="B25" s="68" t="inlineStr">
        <is>
          <t>,')|(</t>
        </is>
      </c>
      <c r="C25" s="68" t="inlineStr">
        <is>
          <t>,')|(</t>
        </is>
      </c>
      <c r="D25" s="66" t="inlineStr">
        <is>
          <t>  </t>
        </is>
      </c>
      <c r="E25" s="66" t="inlineStr">
        <is>
          <t>  </t>
        </is>
      </c>
    </row>
    <row r="26" ht="28.5" customHeight="1" s="71">
      <c r="A26" s="68" t="n">
        <v>24</v>
      </c>
      <c r="B26" s="68" t="inlineStr">
        <is>
          <t>')|(</t>
        </is>
      </c>
      <c r="C26" s="68" t="inlineStr">
        <is>
          <t>')|(</t>
        </is>
      </c>
      <c r="D26" s="66" t="inlineStr">
        <is>
          <t> </t>
        </is>
      </c>
      <c r="E26" s="66" t="inlineStr">
        <is>
          <t> </t>
        </is>
      </c>
    </row>
    <row r="27" ht="28.5" customHeight="1" s="71">
      <c r="A27" s="68" t="n">
        <v>25</v>
      </c>
      <c r="B27" s="68" t="inlineStr">
        <is>
          <t>)~|</t>
        </is>
      </c>
      <c r="C27" s="68" t="inlineStr">
        <is>
          <t>)~|</t>
        </is>
      </c>
      <c r="D27" s="66" t="inlineStr">
        <is>
          <t></t>
        </is>
      </c>
      <c r="E27" s="66" t="inlineStr">
        <is>
          <t></t>
        </is>
      </c>
    </row>
    <row r="28" ht="28.5" customHeight="1" s="71">
      <c r="A28" s="68" t="n">
        <v>26</v>
      </c>
      <c r="B28" s="68" t="inlineStr">
        <is>
          <t>.~|(</t>
        </is>
      </c>
      <c r="C28" s="68" t="inlineStr">
        <is>
          <t>.~|(</t>
        </is>
      </c>
      <c r="D28" s="66" t="inlineStr">
        <is>
          <t> </t>
        </is>
      </c>
      <c r="E28" s="66" t="inlineStr">
        <is>
          <t> </t>
        </is>
      </c>
    </row>
    <row r="29" ht="28.5" customHeight="1" s="71">
      <c r="A29" s="68" t="n">
        <v>27</v>
      </c>
      <c r="B29" s="68" t="inlineStr">
        <is>
          <t>`.~|(</t>
        </is>
      </c>
      <c r="C29" s="68" t="inlineStr">
        <is>
          <t>`.~|(</t>
        </is>
      </c>
      <c r="D29" s="66" t="inlineStr">
        <is>
          <t>  </t>
        </is>
      </c>
      <c r="E29" s="66" t="inlineStr">
        <is>
          <t>  </t>
        </is>
      </c>
    </row>
    <row r="30" ht="28.5" customHeight="1" s="71">
      <c r="A30" s="68" t="n">
        <v>28</v>
      </c>
      <c r="B30" s="68" t="inlineStr">
        <is>
          <t>,,~|(</t>
        </is>
      </c>
      <c r="C30" s="68" t="inlineStr">
        <is>
          <t>,,~|(</t>
        </is>
      </c>
      <c r="D30" s="66" t="inlineStr">
        <is>
          <t> </t>
        </is>
      </c>
      <c r="E30" s="66" t="inlineStr">
        <is>
          <t> </t>
        </is>
      </c>
    </row>
    <row r="31" ht="28.5" customHeight="1" s="71">
      <c r="A31" s="68" t="n">
        <v>29</v>
      </c>
      <c r="B31" s="68" t="inlineStr">
        <is>
          <t>,~|(</t>
        </is>
      </c>
      <c r="C31" s="68" t="inlineStr">
        <is>
          <t>,~|(</t>
        </is>
      </c>
      <c r="D31" s="66" t="inlineStr">
        <is>
          <t> </t>
        </is>
      </c>
      <c r="E31" s="66" t="inlineStr">
        <is>
          <t> </t>
        </is>
      </c>
    </row>
    <row r="32" ht="28.5" customHeight="1" s="71">
      <c r="A32" s="68" t="n">
        <v>30</v>
      </c>
      <c r="B32" s="68" t="inlineStr">
        <is>
          <t>~|(</t>
        </is>
      </c>
      <c r="C32" s="68" t="inlineStr">
        <is>
          <t>~|(</t>
        </is>
      </c>
      <c r="D32" s="66" t="inlineStr">
        <is>
          <t></t>
        </is>
      </c>
      <c r="E32" s="66" t="inlineStr">
        <is>
          <t></t>
        </is>
      </c>
    </row>
    <row r="33" ht="28.5" customHeight="1" s="71">
      <c r="A33" s="68" t="n">
        <v>31</v>
      </c>
      <c r="B33" s="68" t="inlineStr">
        <is>
          <t>`~|(</t>
        </is>
      </c>
      <c r="C33" s="68" t="inlineStr">
        <is>
          <t>`~|(</t>
        </is>
      </c>
      <c r="D33" s="66" t="inlineStr">
        <is>
          <t> </t>
        </is>
      </c>
      <c r="E33" s="66" t="inlineStr">
        <is>
          <t> </t>
        </is>
      </c>
    </row>
    <row r="34" ht="28.5" customHeight="1" s="71">
      <c r="A34" s="68" t="n">
        <v>32</v>
      </c>
      <c r="B34" s="68" t="inlineStr">
        <is>
          <t>,,|~</t>
        </is>
      </c>
      <c r="C34" s="68" t="inlineStr">
        <is>
          <t>,,|~</t>
        </is>
      </c>
      <c r="D34" s="66" t="inlineStr">
        <is>
          <t> </t>
        </is>
      </c>
      <c r="E34" s="66" t="inlineStr">
        <is>
          <t> </t>
        </is>
      </c>
    </row>
    <row r="35" ht="28.5" customHeight="1" s="71">
      <c r="A35" s="68" t="n">
        <v>33</v>
      </c>
      <c r="B35" s="68" t="inlineStr">
        <is>
          <t>,|~</t>
        </is>
      </c>
      <c r="C35" s="68" t="inlineStr">
        <is>
          <t>,|~</t>
        </is>
      </c>
      <c r="D35" s="66" t="inlineStr">
        <is>
          <t> </t>
        </is>
      </c>
      <c r="E35" s="66" t="inlineStr">
        <is>
          <t> </t>
        </is>
      </c>
    </row>
    <row r="36" ht="28.5" customHeight="1" s="71">
      <c r="A36" s="68" t="n">
        <v>34</v>
      </c>
      <c r="B36" s="68" t="inlineStr">
        <is>
          <t>|~</t>
        </is>
      </c>
      <c r="C36" s="68" t="inlineStr">
        <is>
          <t>|~</t>
        </is>
      </c>
      <c r="D36" s="66" t="inlineStr">
        <is>
          <t></t>
        </is>
      </c>
      <c r="E36" s="66" t="inlineStr">
        <is>
          <t></t>
        </is>
      </c>
    </row>
    <row r="37" ht="28.5" customHeight="1" s="71">
      <c r="A37" s="68" t="n">
        <v>35</v>
      </c>
      <c r="B37" s="68" t="inlineStr">
        <is>
          <t>`|~</t>
        </is>
      </c>
      <c r="C37" s="68" t="inlineStr">
        <is>
          <t>`|~</t>
        </is>
      </c>
      <c r="D37" s="66" t="inlineStr">
        <is>
          <t> </t>
        </is>
      </c>
      <c r="E37" s="66" t="inlineStr">
        <is>
          <t> </t>
        </is>
      </c>
    </row>
    <row r="38" ht="28.5" customHeight="1" s="71">
      <c r="A38" s="68" t="n">
        <v>36</v>
      </c>
      <c r="B38" s="68" t="inlineStr">
        <is>
          <t>~~|</t>
        </is>
      </c>
      <c r="C38" s="68" t="inlineStr">
        <is>
          <t>~~|</t>
        </is>
      </c>
      <c r="D38" s="66" t="inlineStr">
        <is>
          <t></t>
        </is>
      </c>
      <c r="E38" s="66" t="inlineStr">
        <is>
          <t></t>
        </is>
      </c>
    </row>
    <row r="39" ht="28.5" customHeight="1" s="71">
      <c r="A39" s="68" t="n">
        <v>37</v>
      </c>
      <c r="B39" s="68" t="inlineStr">
        <is>
          <t>`~~|</t>
        </is>
      </c>
      <c r="C39" s="68" t="inlineStr">
        <is>
          <t>`~~|</t>
        </is>
      </c>
      <c r="D39" s="66" t="inlineStr">
        <is>
          <t> </t>
        </is>
      </c>
      <c r="E39" s="66" t="inlineStr">
        <is>
          <t> </t>
        </is>
      </c>
    </row>
    <row r="40" ht="28.5" customHeight="1" s="71">
      <c r="A40" s="68" t="n">
        <v>38</v>
      </c>
      <c r="B40" s="68" t="inlineStr">
        <is>
          <t>``~~|</t>
        </is>
      </c>
      <c r="C40" s="68" t="inlineStr">
        <is>
          <t>``~~|</t>
        </is>
      </c>
      <c r="D40" s="66" t="inlineStr">
        <is>
          <t> </t>
        </is>
      </c>
      <c r="E40" s="66" t="inlineStr">
        <is>
          <t> </t>
        </is>
      </c>
    </row>
    <row r="41" ht="28.5" customHeight="1" s="71">
      <c r="A41" s="68" t="n">
        <v>39</v>
      </c>
      <c r="B41" s="68" t="inlineStr">
        <is>
          <t>,./|</t>
        </is>
      </c>
      <c r="C41" s="68" t="inlineStr">
        <is>
          <t>,./|</t>
        </is>
      </c>
      <c r="D41" s="66" t="inlineStr">
        <is>
          <t>  </t>
        </is>
      </c>
      <c r="E41" s="66" t="inlineStr">
        <is>
          <t>  </t>
        </is>
      </c>
    </row>
    <row r="42" ht="28.5" customHeight="1" s="71">
      <c r="A42" s="68" t="n">
        <v>40</v>
      </c>
      <c r="B42" s="68" t="inlineStr">
        <is>
          <t>./|</t>
        </is>
      </c>
      <c r="C42" s="68" t="inlineStr">
        <is>
          <t>./|</t>
        </is>
      </c>
      <c r="D42" s="66" t="inlineStr">
        <is>
          <t> </t>
        </is>
      </c>
      <c r="E42" s="66" t="inlineStr">
        <is>
          <t> </t>
        </is>
      </c>
    </row>
    <row r="43" ht="28.5" customHeight="1" s="71">
      <c r="A43" s="68" t="n">
        <v>41</v>
      </c>
      <c r="B43" s="68" t="inlineStr">
        <is>
          <t>)|~</t>
        </is>
      </c>
      <c r="C43" s="68" t="inlineStr">
        <is>
          <t>)|~</t>
        </is>
      </c>
      <c r="D43" s="66" t="inlineStr">
        <is>
          <t></t>
        </is>
      </c>
      <c r="E43" s="66" t="inlineStr">
        <is>
          <t></t>
        </is>
      </c>
    </row>
    <row r="44" ht="28.5" customHeight="1" s="71">
      <c r="A44" s="68" t="n">
        <v>42</v>
      </c>
      <c r="B44" s="68" t="inlineStr">
        <is>
          <t>,,/|</t>
        </is>
      </c>
      <c r="C44" s="68" t="inlineStr">
        <is>
          <t>,,/|</t>
        </is>
      </c>
      <c r="D44" s="66" t="inlineStr">
        <is>
          <t> </t>
        </is>
      </c>
      <c r="E44" s="66" t="inlineStr">
        <is>
          <t> </t>
        </is>
      </c>
    </row>
    <row r="45" ht="28.5" customHeight="1" s="71">
      <c r="A45" s="68" t="n">
        <v>43</v>
      </c>
      <c r="B45" s="68" t="inlineStr">
        <is>
          <t>,/|</t>
        </is>
      </c>
      <c r="C45" s="68" t="inlineStr">
        <is>
          <t>,/|</t>
        </is>
      </c>
      <c r="D45" s="66" t="inlineStr">
        <is>
          <t> </t>
        </is>
      </c>
      <c r="E45" s="66" t="inlineStr">
        <is>
          <t> </t>
        </is>
      </c>
    </row>
    <row r="46" ht="28.5" customHeight="1" s="71">
      <c r="A46" s="68" t="n">
        <v>44</v>
      </c>
      <c r="B46" s="68" t="inlineStr">
        <is>
          <t>/|</t>
        </is>
      </c>
      <c r="C46" s="68" t="inlineStr">
        <is>
          <t>/|</t>
        </is>
      </c>
      <c r="D46" s="66" t="inlineStr">
        <is>
          <t></t>
        </is>
      </c>
      <c r="E46" s="66" t="inlineStr">
        <is>
          <t></t>
        </is>
      </c>
    </row>
    <row r="47" ht="28.5" customHeight="1" s="71">
      <c r="A47" s="68" t="n">
        <v>45</v>
      </c>
      <c r="B47" s="68" t="inlineStr">
        <is>
          <t>`/|</t>
        </is>
      </c>
      <c r="C47" s="68" t="inlineStr">
        <is>
          <t>`/|</t>
        </is>
      </c>
      <c r="D47" s="66" t="inlineStr">
        <is>
          <t> </t>
        </is>
      </c>
      <c r="E47" s="66" t="inlineStr">
        <is>
          <t> </t>
        </is>
      </c>
    </row>
    <row r="48" ht="28.5" customHeight="1" s="71">
      <c r="A48" s="68" t="n">
        <v>46</v>
      </c>
      <c r="B48" s="68" t="inlineStr">
        <is>
          <t>``/|</t>
        </is>
      </c>
      <c r="C48" s="68" t="inlineStr">
        <is>
          <t>``/|</t>
        </is>
      </c>
      <c r="D48" s="66" t="inlineStr">
        <is>
          <t> </t>
        </is>
      </c>
      <c r="E48" s="66" t="inlineStr">
        <is>
          <t> </t>
        </is>
      </c>
    </row>
    <row r="49" ht="28.5" customHeight="1" s="71">
      <c r="A49" s="68" t="n">
        <v>47</v>
      </c>
      <c r="B49" s="68" t="inlineStr">
        <is>
          <t>.)/|</t>
        </is>
      </c>
      <c r="C49" s="68" t="inlineStr">
        <is>
          <t>.)/|</t>
        </is>
      </c>
      <c r="D49" s="66" t="inlineStr">
        <is>
          <t> </t>
        </is>
      </c>
      <c r="E49" s="66" t="inlineStr">
        <is>
          <t> </t>
        </is>
      </c>
    </row>
    <row r="50" ht="28.5" customHeight="1" s="71">
      <c r="A50" s="68" t="n">
        <v>48</v>
      </c>
      <c r="B50" s="68" t="inlineStr">
        <is>
          <t>'/|</t>
        </is>
      </c>
      <c r="C50" s="68" t="inlineStr">
        <is>
          <t>'/|</t>
        </is>
      </c>
      <c r="D50" s="66" t="inlineStr">
        <is>
          <t> </t>
        </is>
      </c>
      <c r="E50" s="66" t="inlineStr">
        <is>
          <t> </t>
        </is>
      </c>
    </row>
    <row r="51" ht="28.5" customHeight="1" s="71">
      <c r="A51" s="68" t="n">
        <v>49</v>
      </c>
      <c r="B51" s="68" t="inlineStr">
        <is>
          <t>`'/|</t>
        </is>
      </c>
      <c r="C51" s="68" t="inlineStr">
        <is>
          <t>`'/|</t>
        </is>
      </c>
      <c r="D51" s="66" t="inlineStr">
        <is>
          <t>  </t>
        </is>
      </c>
      <c r="E51" s="66" t="inlineStr">
        <is>
          <t>  </t>
        </is>
      </c>
    </row>
    <row r="52" ht="28.5" customHeight="1" s="71">
      <c r="A52" s="68" t="n">
        <v>50</v>
      </c>
      <c r="B52" s="68" t="inlineStr">
        <is>
          <t>,,)/|</t>
        </is>
      </c>
      <c r="C52" s="68" t="inlineStr">
        <is>
          <t>,,)/|</t>
        </is>
      </c>
      <c r="D52" s="66" t="inlineStr">
        <is>
          <t> </t>
        </is>
      </c>
      <c r="E52" s="66" t="inlineStr">
        <is>
          <t> </t>
        </is>
      </c>
    </row>
    <row r="53" ht="28.5" customHeight="1" s="71">
      <c r="A53" s="68" t="n">
        <v>51</v>
      </c>
      <c r="B53" s="68" t="inlineStr">
        <is>
          <t>,)/|</t>
        </is>
      </c>
      <c r="C53" s="68" t="inlineStr">
        <is>
          <t>,)/|</t>
        </is>
      </c>
      <c r="D53" s="66" t="inlineStr">
        <is>
          <t> </t>
        </is>
      </c>
      <c r="E53" s="66" t="inlineStr">
        <is>
          <t> </t>
        </is>
      </c>
    </row>
    <row r="54" ht="28.5" customHeight="1" s="71">
      <c r="A54" s="68" t="n">
        <v>52</v>
      </c>
      <c r="B54" s="68" t="inlineStr">
        <is>
          <t>)/|</t>
        </is>
      </c>
      <c r="C54" s="68" t="inlineStr">
        <is>
          <t>)/|</t>
        </is>
      </c>
      <c r="D54" s="66" t="inlineStr">
        <is>
          <t></t>
        </is>
      </c>
      <c r="E54" s="66" t="inlineStr">
        <is>
          <t></t>
        </is>
      </c>
    </row>
    <row r="55" ht="28.5" customHeight="1" s="71">
      <c r="A55" s="68" t="n">
        <v>53</v>
      </c>
      <c r="B55" s="68" t="inlineStr">
        <is>
          <t>,.|)</t>
        </is>
      </c>
      <c r="C55" s="68" t="inlineStr">
        <is>
          <t>,.|)</t>
        </is>
      </c>
      <c r="D55" s="66" t="inlineStr">
        <is>
          <t>  </t>
        </is>
      </c>
      <c r="E55" s="66" t="inlineStr">
        <is>
          <t>  </t>
        </is>
      </c>
    </row>
    <row r="56" ht="28.5" customHeight="1" s="71">
      <c r="A56" s="68" t="n">
        <v>54</v>
      </c>
      <c r="B56" s="68" t="inlineStr">
        <is>
          <t>.|)</t>
        </is>
      </c>
      <c r="C56" s="68" t="inlineStr">
        <is>
          <t>.|)</t>
        </is>
      </c>
      <c r="D56" s="66" t="inlineStr">
        <is>
          <t> </t>
        </is>
      </c>
      <c r="E56" s="66" t="inlineStr">
        <is>
          <t> </t>
        </is>
      </c>
    </row>
    <row r="57" ht="28.5" customHeight="1" s="71">
      <c r="A57" s="68" t="n">
        <v>55</v>
      </c>
      <c r="B57" s="68" t="inlineStr">
        <is>
          <t>`.|)</t>
        </is>
      </c>
      <c r="C57" s="68" t="inlineStr">
        <is>
          <t>`.|)</t>
        </is>
      </c>
      <c r="D57" s="66" t="inlineStr">
        <is>
          <t>  </t>
        </is>
      </c>
      <c r="E57" s="66" t="inlineStr">
        <is>
          <t>  </t>
        </is>
      </c>
    </row>
    <row r="58" ht="28.5" customHeight="1" s="71">
      <c r="A58" s="68" t="n">
        <v>56</v>
      </c>
      <c r="B58" s="68" t="inlineStr">
        <is>
          <t>,,|)</t>
        </is>
      </c>
      <c r="C58" s="68" t="inlineStr">
        <is>
          <t>,,|)</t>
        </is>
      </c>
      <c r="D58" s="66" t="inlineStr">
        <is>
          <t> </t>
        </is>
      </c>
      <c r="E58" s="66" t="inlineStr">
        <is>
          <t> </t>
        </is>
      </c>
    </row>
    <row r="59" ht="28.5" customHeight="1" s="71">
      <c r="A59" s="68" t="n">
        <v>57</v>
      </c>
      <c r="B59" s="68" t="inlineStr">
        <is>
          <t>,|)</t>
        </is>
      </c>
      <c r="C59" s="68" t="inlineStr">
        <is>
          <t>,|)</t>
        </is>
      </c>
      <c r="D59" s="66" t="inlineStr">
        <is>
          <t> </t>
        </is>
      </c>
      <c r="E59" s="66" t="inlineStr">
        <is>
          <t> </t>
        </is>
      </c>
    </row>
    <row r="60" ht="28.5" customHeight="1" s="71">
      <c r="A60" s="68" t="n">
        <v>58</v>
      </c>
      <c r="B60" s="68" t="inlineStr">
        <is>
          <t>|)</t>
        </is>
      </c>
      <c r="C60" s="68" t="inlineStr">
        <is>
          <t>|)</t>
        </is>
      </c>
      <c r="D60" s="66" t="inlineStr">
        <is>
          <t></t>
        </is>
      </c>
      <c r="E60" s="66" t="inlineStr">
        <is>
          <t></t>
        </is>
      </c>
    </row>
    <row r="61" ht="28.5" customHeight="1" s="71">
      <c r="A61" s="68" t="n">
        <v>59</v>
      </c>
      <c r="B61" s="68" t="inlineStr">
        <is>
          <t>`|)</t>
        </is>
      </c>
      <c r="C61" s="68" t="inlineStr">
        <is>
          <t>`|)</t>
        </is>
      </c>
      <c r="D61" s="66" t="inlineStr">
        <is>
          <t> </t>
        </is>
      </c>
      <c r="E61" s="66" t="inlineStr">
        <is>
          <t> </t>
        </is>
      </c>
    </row>
    <row r="62" ht="28.5" customHeight="1" s="71">
      <c r="A62" s="68" t="n">
        <v>60</v>
      </c>
      <c r="B62" s="68" t="inlineStr">
        <is>
          <t>``|)</t>
        </is>
      </c>
      <c r="C62" s="68" t="inlineStr">
        <is>
          <t>``|)</t>
        </is>
      </c>
      <c r="D62" s="66" t="inlineStr">
        <is>
          <t> </t>
        </is>
      </c>
      <c r="E62" s="66" t="inlineStr">
        <is>
          <t> </t>
        </is>
      </c>
    </row>
    <row r="63" ht="28.5" customHeight="1" s="71">
      <c r="A63" s="68" t="n">
        <v>61</v>
      </c>
      <c r="B63" s="68" t="inlineStr">
        <is>
          <t>,'|)</t>
        </is>
      </c>
      <c r="C63" s="68" t="inlineStr">
        <is>
          <t>,'|)</t>
        </is>
      </c>
      <c r="D63" s="66" t="inlineStr">
        <is>
          <t>  </t>
        </is>
      </c>
      <c r="E63" s="66" t="inlineStr">
        <is>
          <t>  </t>
        </is>
      </c>
    </row>
    <row r="64" ht="28.5" customHeight="1" s="71">
      <c r="A64" s="68" t="n">
        <v>62</v>
      </c>
      <c r="B64" s="68" t="inlineStr">
        <is>
          <t>'|)</t>
        </is>
      </c>
      <c r="C64" s="68" t="inlineStr">
        <is>
          <t>'|)</t>
        </is>
      </c>
      <c r="D64" s="66" t="inlineStr">
        <is>
          <t> </t>
        </is>
      </c>
      <c r="E64" s="66" t="inlineStr">
        <is>
          <t> </t>
        </is>
      </c>
    </row>
    <row r="65" ht="28.5" customHeight="1" s="71">
      <c r="A65" s="68" t="n">
        <v>63</v>
      </c>
      <c r="B65" s="68" t="inlineStr">
        <is>
          <t>`'|)</t>
        </is>
      </c>
      <c r="C65" s="68" t="inlineStr">
        <is>
          <t>`'|)</t>
        </is>
      </c>
      <c r="D65" s="66" t="inlineStr">
        <is>
          <t>  </t>
        </is>
      </c>
      <c r="E65" s="66" t="inlineStr">
        <is>
          <t>  </t>
        </is>
      </c>
    </row>
    <row r="66" ht="28.5" customHeight="1" s="71">
      <c r="A66" s="68" t="n">
        <v>64</v>
      </c>
      <c r="B66" s="68" t="inlineStr">
        <is>
          <t>,)|)</t>
        </is>
      </c>
      <c r="C66" s="68" t="inlineStr">
        <is>
          <t>,)|)</t>
        </is>
      </c>
      <c r="D66" s="66" t="inlineStr">
        <is>
          <t> </t>
        </is>
      </c>
      <c r="E66" s="66" t="inlineStr">
        <is>
          <t> </t>
        </is>
      </c>
    </row>
    <row r="67" ht="28.5" customHeight="1" s="71">
      <c r="A67" s="68" t="n">
        <v>65</v>
      </c>
      <c r="B67" s="68" t="inlineStr">
        <is>
          <t>)|)</t>
        </is>
      </c>
      <c r="C67" s="68" t="inlineStr">
        <is>
          <t>)|)</t>
        </is>
      </c>
      <c r="D67" s="66" t="inlineStr">
        <is>
          <t></t>
        </is>
      </c>
      <c r="E67" s="66" t="inlineStr">
        <is>
          <t></t>
        </is>
      </c>
    </row>
    <row r="68" ht="28.5" customHeight="1" s="71">
      <c r="A68" s="68" t="n">
        <v>66</v>
      </c>
      <c r="B68" s="68" t="inlineStr">
        <is>
          <t>.(|</t>
        </is>
      </c>
      <c r="C68" s="68" t="inlineStr">
        <is>
          <t>.(|</t>
        </is>
      </c>
      <c r="D68" s="66" t="inlineStr">
        <is>
          <t> </t>
        </is>
      </c>
      <c r="E68" s="66" t="inlineStr">
        <is>
          <t> </t>
        </is>
      </c>
    </row>
    <row r="69" ht="28.5" customHeight="1" s="71">
      <c r="A69" s="68" t="n">
        <v>67</v>
      </c>
      <c r="B69" s="68" t="inlineStr">
        <is>
          <t>|\</t>
        </is>
      </c>
      <c r="C69" s="68" t="inlineStr">
        <is>
          <t>|\</t>
        </is>
      </c>
      <c r="D69" s="66" t="inlineStr">
        <is>
          <t></t>
        </is>
      </c>
      <c r="E69" s="66" t="inlineStr">
        <is>
          <t></t>
        </is>
      </c>
    </row>
    <row r="70" ht="28.5" customHeight="1" s="71">
      <c r="A70" s="68" t="n">
        <v>68</v>
      </c>
      <c r="B70" s="68" t="inlineStr">
        <is>
          <t>`|\</t>
        </is>
      </c>
      <c r="C70" s="68" t="inlineStr">
        <is>
          <t>`|\</t>
        </is>
      </c>
      <c r="D70" s="66" t="inlineStr">
        <is>
          <t> </t>
        </is>
      </c>
      <c r="E70" s="66" t="inlineStr">
        <is>
          <t> </t>
        </is>
      </c>
    </row>
    <row r="71" ht="28.5" customHeight="1" s="71">
      <c r="A71" s="68" t="n">
        <v>69</v>
      </c>
      <c r="B71" s="68" t="inlineStr">
        <is>
          <t>,(|</t>
        </is>
      </c>
      <c r="C71" s="68" t="inlineStr">
        <is>
          <t>,(|</t>
        </is>
      </c>
      <c r="D71" s="66" t="inlineStr">
        <is>
          <t> </t>
        </is>
      </c>
      <c r="E71" s="66" t="inlineStr">
        <is>
          <t> </t>
        </is>
      </c>
    </row>
    <row r="72" ht="28.5" customHeight="1" s="71">
      <c r="A72" s="68" t="n">
        <v>70</v>
      </c>
      <c r="B72" s="68" t="inlineStr">
        <is>
          <t>(|</t>
        </is>
      </c>
      <c r="C72" s="68" t="inlineStr">
        <is>
          <t>(|</t>
        </is>
      </c>
      <c r="D72" s="66" t="inlineStr">
        <is>
          <t></t>
        </is>
      </c>
      <c r="E72" s="66" t="inlineStr">
        <is>
          <t></t>
        </is>
      </c>
    </row>
    <row r="73" ht="28.5" customHeight="1" s="71">
      <c r="A73" s="68" t="n">
        <v>71</v>
      </c>
      <c r="B73" s="68" t="inlineStr">
        <is>
          <t>`(|</t>
        </is>
      </c>
      <c r="C73" s="68" t="inlineStr">
        <is>
          <t>`(|</t>
        </is>
      </c>
      <c r="D73" s="66" t="inlineStr">
        <is>
          <t> </t>
        </is>
      </c>
      <c r="E73" s="66" t="inlineStr">
        <is>
          <t> </t>
        </is>
      </c>
    </row>
    <row r="74" ht="28.5" customHeight="1" s="71">
      <c r="A74" s="68" t="n">
        <v>72</v>
      </c>
      <c r="B74" s="68" t="inlineStr">
        <is>
          <t>``(|</t>
        </is>
      </c>
      <c r="C74" s="68" t="inlineStr">
        <is>
          <t>``(|</t>
        </is>
      </c>
      <c r="D74" s="66" t="inlineStr">
        <is>
          <t> </t>
        </is>
      </c>
      <c r="E74" s="66" t="inlineStr">
        <is>
          <t> </t>
        </is>
      </c>
    </row>
    <row r="75" ht="28.5" customHeight="1" s="71">
      <c r="A75" s="68" t="n">
        <v>73</v>
      </c>
      <c r="B75" s="68" t="inlineStr">
        <is>
          <t>,'(|</t>
        </is>
      </c>
      <c r="C75" s="68" t="inlineStr">
        <is>
          <t>,'(|</t>
        </is>
      </c>
      <c r="D75" s="66" t="inlineStr">
        <is>
          <t>  </t>
        </is>
      </c>
      <c r="E75" s="66" t="inlineStr">
        <is>
          <t>  </t>
        </is>
      </c>
    </row>
    <row r="76" ht="28.5" customHeight="1" s="71">
      <c r="A76" s="68" t="n">
        <v>74</v>
      </c>
      <c r="B76" s="68" t="inlineStr">
        <is>
          <t>'(|</t>
        </is>
      </c>
      <c r="C76" s="68" t="inlineStr">
        <is>
          <t>'(|</t>
        </is>
      </c>
      <c r="D76" s="66" t="inlineStr">
        <is>
          <t> </t>
        </is>
      </c>
      <c r="E76" s="66" t="inlineStr">
        <is>
          <t> </t>
        </is>
      </c>
    </row>
    <row r="77" ht="28.5" customHeight="1" s="71">
      <c r="A77" s="68" t="n">
        <v>75</v>
      </c>
      <c r="B77" s="68" t="inlineStr">
        <is>
          <t>,~|)</t>
        </is>
      </c>
      <c r="C77" s="68" t="inlineStr">
        <is>
          <t>,~|)</t>
        </is>
      </c>
      <c r="D77" s="66" t="inlineStr">
        <is>
          <t> </t>
        </is>
      </c>
      <c r="E77" s="66" t="inlineStr">
        <is>
          <t> </t>
        </is>
      </c>
    </row>
    <row r="78" ht="28.5" customHeight="1" s="71">
      <c r="A78" s="68" t="n">
        <v>76</v>
      </c>
      <c r="B78" s="68" t="inlineStr">
        <is>
          <t>~|)</t>
        </is>
      </c>
      <c r="C78" s="68" t="inlineStr">
        <is>
          <t>~|)</t>
        </is>
      </c>
      <c r="D78" s="66" t="inlineStr">
        <is>
          <t></t>
        </is>
      </c>
      <c r="E78" s="66" t="inlineStr">
        <is>
          <t></t>
        </is>
      </c>
    </row>
    <row r="79" ht="28.5" customHeight="1" s="71">
      <c r="A79" s="68" t="n">
        <v>77</v>
      </c>
      <c r="B79" s="68" t="inlineStr">
        <is>
          <t>`~|)</t>
        </is>
      </c>
      <c r="C79" s="68" t="inlineStr">
        <is>
          <t>`~|)</t>
        </is>
      </c>
      <c r="D79" s="66" t="inlineStr">
        <is>
          <t> </t>
        </is>
      </c>
      <c r="E79" s="66" t="inlineStr">
        <is>
          <t> </t>
        </is>
      </c>
    </row>
    <row r="80" ht="28.5" customHeight="1" s="71">
      <c r="A80" s="68" t="n">
        <v>78</v>
      </c>
      <c r="B80" s="68" t="inlineStr">
        <is>
          <t>,.(|(</t>
        </is>
      </c>
      <c r="C80" s="68" t="inlineStr">
        <is>
          <t>,.(|(</t>
        </is>
      </c>
      <c r="D80" s="69" t="inlineStr">
        <is>
          <t>  </t>
        </is>
      </c>
      <c r="E80" s="69" t="inlineStr">
        <is>
          <t>  </t>
        </is>
      </c>
    </row>
    <row r="81" ht="28.5" customHeight="1" s="71">
      <c r="A81" s="68" t="n">
        <v>79</v>
      </c>
      <c r="B81" s="68" t="inlineStr">
        <is>
          <t>.(|(</t>
        </is>
      </c>
      <c r="C81" s="68" t="inlineStr">
        <is>
          <t>.(|(</t>
        </is>
      </c>
      <c r="D81" s="66" t="inlineStr">
        <is>
          <t> </t>
        </is>
      </c>
      <c r="E81" s="66" t="inlineStr">
        <is>
          <t> </t>
        </is>
      </c>
    </row>
    <row r="82" ht="28.5" customHeight="1" s="71">
      <c r="A82" s="68" t="n">
        <v>80</v>
      </c>
      <c r="B82" s="68" t="inlineStr">
        <is>
          <t>'~|)</t>
        </is>
      </c>
      <c r="C82" s="68" t="inlineStr">
        <is>
          <t>'~|)</t>
        </is>
      </c>
      <c r="D82" s="66" t="inlineStr">
        <is>
          <t> </t>
        </is>
      </c>
      <c r="E82" s="66" t="inlineStr">
        <is>
          <t> </t>
        </is>
      </c>
    </row>
    <row r="83" ht="28.5" customHeight="1" s="71">
      <c r="A83" s="68" t="n">
        <v>81</v>
      </c>
      <c r="B83" s="68" t="inlineStr">
        <is>
          <t>/|~</t>
        </is>
      </c>
      <c r="C83" s="68" t="inlineStr">
        <is>
          <t>/|~</t>
        </is>
      </c>
      <c r="D83" s="66" t="inlineStr">
        <is>
          <t></t>
        </is>
      </c>
      <c r="E83" s="66" t="inlineStr">
        <is>
          <t></t>
        </is>
      </c>
    </row>
    <row r="84" ht="28.5" customHeight="1" s="71">
      <c r="A84" s="68" t="n">
        <v>82</v>
      </c>
      <c r="B84" s="68" t="inlineStr">
        <is>
          <t>,,(|(</t>
        </is>
      </c>
      <c r="C84" s="68" t="inlineStr">
        <is>
          <t>,,(|(</t>
        </is>
      </c>
      <c r="D84" s="66" t="inlineStr">
        <is>
          <t> </t>
        </is>
      </c>
      <c r="E84" s="66" t="inlineStr">
        <is>
          <t> </t>
        </is>
      </c>
    </row>
    <row r="85" ht="28.5" customHeight="1" s="71">
      <c r="A85" s="68" t="n">
        <v>83</v>
      </c>
      <c r="B85" s="68" t="inlineStr">
        <is>
          <t>,(|(</t>
        </is>
      </c>
      <c r="C85" s="68" t="inlineStr">
        <is>
          <t>,(|(</t>
        </is>
      </c>
      <c r="D85" s="66" t="inlineStr">
        <is>
          <t> </t>
        </is>
      </c>
      <c r="E85" s="66" t="inlineStr">
        <is>
          <t> </t>
        </is>
      </c>
    </row>
    <row r="86" ht="28.5" customHeight="1" s="71">
      <c r="A86" s="68" t="n">
        <v>84</v>
      </c>
      <c r="B86" s="68" t="inlineStr">
        <is>
          <t>(|(</t>
        </is>
      </c>
      <c r="C86" s="68" t="inlineStr">
        <is>
          <t>(|(</t>
        </is>
      </c>
      <c r="D86" s="66" t="inlineStr">
        <is>
          <t></t>
        </is>
      </c>
      <c r="E86" s="66" t="inlineStr">
        <is>
          <t></t>
        </is>
      </c>
    </row>
    <row r="87" ht="28.5" customHeight="1" s="71">
      <c r="A87" s="68" t="n">
        <v>85</v>
      </c>
      <c r="B87" s="68" t="inlineStr">
        <is>
          <t>`(|(</t>
        </is>
      </c>
      <c r="C87" s="68" t="inlineStr">
        <is>
          <t>`(|(</t>
        </is>
      </c>
      <c r="D87" s="66" t="inlineStr">
        <is>
          <t> </t>
        </is>
      </c>
      <c r="E87" s="66" t="inlineStr">
        <is>
          <t> </t>
        </is>
      </c>
    </row>
    <row r="88" ht="28.5" customHeight="1" s="71">
      <c r="A88" s="68" t="n">
        <v>86</v>
      </c>
      <c r="B88" s="68" t="inlineStr">
        <is>
          <t>~|\</t>
        </is>
      </c>
      <c r="C88" s="68" t="inlineStr">
        <is>
          <t>~|\</t>
        </is>
      </c>
      <c r="D88" s="66" t="inlineStr">
        <is>
          <t></t>
        </is>
      </c>
      <c r="E88" s="66" t="inlineStr">
        <is>
          <t></t>
        </is>
      </c>
    </row>
    <row r="89" ht="28.5" customHeight="1" s="71">
      <c r="A89" s="68" t="n">
        <v>87</v>
      </c>
      <c r="B89" s="68" t="inlineStr">
        <is>
          <t>,.//|</t>
        </is>
      </c>
      <c r="C89" s="68" t="inlineStr">
        <is>
          <t>,.//|</t>
        </is>
      </c>
      <c r="D89" s="66" t="inlineStr">
        <is>
          <t>  </t>
        </is>
      </c>
      <c r="E89" s="66" t="inlineStr">
        <is>
          <t>  </t>
        </is>
      </c>
    </row>
    <row r="90" ht="28.5" customHeight="1" s="71">
      <c r="A90" s="68" t="n">
        <v>88</v>
      </c>
      <c r="B90" s="68" t="inlineStr">
        <is>
          <t>.//|</t>
        </is>
      </c>
      <c r="C90" s="68" t="inlineStr">
        <is>
          <t>.//|</t>
        </is>
      </c>
      <c r="D90" s="66" t="inlineStr">
        <is>
          <t> </t>
        </is>
      </c>
      <c r="E90" s="66" t="inlineStr">
        <is>
          <t> </t>
        </is>
      </c>
    </row>
    <row r="91" ht="28.5" customHeight="1" s="71">
      <c r="A91" s="68" t="n">
        <v>89</v>
      </c>
      <c r="B91" s="68" t="inlineStr">
        <is>
          <t>`.//|</t>
        </is>
      </c>
      <c r="C91" s="68" t="inlineStr">
        <is>
          <t>`.//|</t>
        </is>
      </c>
      <c r="D91" s="66" t="inlineStr">
        <is>
          <t>  </t>
        </is>
      </c>
      <c r="E91" s="66" t="inlineStr">
        <is>
          <t>  </t>
        </is>
      </c>
    </row>
    <row r="92" ht="28.5" customHeight="1" s="71">
      <c r="A92" s="68" t="n">
        <v>90</v>
      </c>
      <c r="B92" s="68" t="inlineStr">
        <is>
          <t>,,//|</t>
        </is>
      </c>
      <c r="C92" s="68" t="inlineStr">
        <is>
          <t>,,//|</t>
        </is>
      </c>
      <c r="D92" s="69" t="inlineStr">
        <is>
          <t> </t>
        </is>
      </c>
      <c r="E92" s="66" t="inlineStr">
        <is>
          <t> </t>
        </is>
      </c>
    </row>
    <row r="93" ht="28.5" customHeight="1" s="71">
      <c r="A93" s="68" t="n">
        <v>91</v>
      </c>
      <c r="B93" s="68" t="inlineStr">
        <is>
          <t>,//|</t>
        </is>
      </c>
      <c r="C93" s="68" t="inlineStr">
        <is>
          <t>,//|</t>
        </is>
      </c>
      <c r="D93" s="66" t="inlineStr">
        <is>
          <t> </t>
        </is>
      </c>
      <c r="E93" s="66" t="inlineStr">
        <is>
          <t> </t>
        </is>
      </c>
    </row>
    <row r="94" ht="28.5" customHeight="1" s="71">
      <c r="A94" s="68" t="n">
        <v>92</v>
      </c>
      <c r="B94" s="68" t="inlineStr">
        <is>
          <t>//|</t>
        </is>
      </c>
      <c r="C94" s="68" t="inlineStr">
        <is>
          <t>//|</t>
        </is>
      </c>
      <c r="D94" s="66" t="inlineStr">
        <is>
          <t></t>
        </is>
      </c>
      <c r="E94" s="66" t="inlineStr">
        <is>
          <t></t>
        </is>
      </c>
    </row>
    <row r="95" ht="28.5" customHeight="1" s="71">
      <c r="A95" s="68" t="n">
        <v>93</v>
      </c>
      <c r="B95" s="68" t="inlineStr">
        <is>
          <t>`//|</t>
        </is>
      </c>
      <c r="C95" s="68" t="inlineStr">
        <is>
          <t>`//|</t>
        </is>
      </c>
      <c r="D95" s="66" t="inlineStr">
        <is>
          <t> </t>
        </is>
      </c>
      <c r="E95" s="66" t="inlineStr">
        <is>
          <t> </t>
        </is>
      </c>
    </row>
    <row r="96" ht="28.5" customHeight="1" s="71">
      <c r="A96" s="68" t="n">
        <v>94</v>
      </c>
      <c r="B96" s="68" t="inlineStr">
        <is>
          <t>``//|</t>
        </is>
      </c>
      <c r="C96" s="68" t="inlineStr">
        <is>
          <t>``//|</t>
        </is>
      </c>
      <c r="D96" s="66" t="inlineStr">
        <is>
          <t> </t>
        </is>
      </c>
      <c r="E96" s="66" t="inlineStr">
        <is>
          <t> </t>
        </is>
      </c>
    </row>
    <row r="97" ht="28.5" customHeight="1" s="71">
      <c r="A97" s="68" t="n">
        <v>95</v>
      </c>
      <c r="B97" s="68" t="inlineStr">
        <is>
          <t>,'//|</t>
        </is>
      </c>
      <c r="C97" s="68" t="inlineStr">
        <is>
          <t>,'//|</t>
        </is>
      </c>
      <c r="D97" s="66" t="inlineStr">
        <is>
          <t>  </t>
        </is>
      </c>
      <c r="E97" s="66" t="inlineStr">
        <is>
          <t>  </t>
        </is>
      </c>
    </row>
    <row r="98" ht="28.5" customHeight="1" s="71">
      <c r="A98" s="68" t="n">
        <v>96</v>
      </c>
      <c r="B98" s="68" t="inlineStr">
        <is>
          <t>'//|</t>
        </is>
      </c>
      <c r="C98" s="68" t="inlineStr">
        <is>
          <t>'//|</t>
        </is>
      </c>
      <c r="D98" s="66" t="inlineStr">
        <is>
          <t> </t>
        </is>
      </c>
      <c r="E98" s="66" t="inlineStr">
        <is>
          <t> </t>
        </is>
      </c>
    </row>
    <row r="99" ht="28.5" customHeight="1" s="71">
      <c r="A99" s="68" t="n">
        <v>97</v>
      </c>
      <c r="B99" s="68" t="inlineStr">
        <is>
          <t>,,)//|</t>
        </is>
      </c>
      <c r="C99" s="68" t="inlineStr">
        <is>
          <t>,,)//|</t>
        </is>
      </c>
      <c r="D99" s="69" t="inlineStr">
        <is>
          <t> </t>
        </is>
      </c>
      <c r="E99" s="69" t="inlineStr">
        <is>
          <t> </t>
        </is>
      </c>
    </row>
    <row r="100" ht="28.5" customHeight="1" s="71">
      <c r="A100" s="68" t="n">
        <v>98</v>
      </c>
      <c r="B100" s="68" t="inlineStr">
        <is>
          <t>,)//|</t>
        </is>
      </c>
      <c r="C100" s="68" t="inlineStr">
        <is>
          <t>,)//|</t>
        </is>
      </c>
      <c r="D100" s="69" t="inlineStr">
        <is>
          <t> </t>
        </is>
      </c>
      <c r="E100" s="66" t="inlineStr">
        <is>
          <t> </t>
        </is>
      </c>
    </row>
    <row r="101" ht="28.5" customHeight="1" s="71">
      <c r="A101" s="68" t="n">
        <v>99</v>
      </c>
      <c r="B101" s="68" t="inlineStr">
        <is>
          <t>)//|</t>
        </is>
      </c>
      <c r="C101" s="68" t="inlineStr">
        <is>
          <t>)//|</t>
        </is>
      </c>
      <c r="D101" s="66" t="inlineStr">
        <is>
          <t></t>
        </is>
      </c>
      <c r="E101" s="66" t="inlineStr">
        <is>
          <t></t>
        </is>
      </c>
    </row>
    <row r="102" ht="28.5" customHeight="1" s="71">
      <c r="A102" s="68" t="n">
        <v>100</v>
      </c>
      <c r="B102" s="68" t="inlineStr">
        <is>
          <t>`)//|</t>
        </is>
      </c>
      <c r="C102" s="68" t="inlineStr">
        <is>
          <t>`)//|</t>
        </is>
      </c>
      <c r="D102" s="66" t="inlineStr">
        <is>
          <t> </t>
        </is>
      </c>
      <c r="E102" s="66" t="inlineStr">
        <is>
          <t> </t>
        </is>
      </c>
    </row>
    <row r="103" ht="28.5" customHeight="1" s="71">
      <c r="A103" s="68" t="n">
        <v>101</v>
      </c>
      <c r="B103" s="68" t="inlineStr">
        <is>
          <t>``)//|</t>
        </is>
      </c>
      <c r="C103" s="68" t="inlineStr">
        <is>
          <t>``)//|</t>
        </is>
      </c>
      <c r="D103" s="66" t="inlineStr">
        <is>
          <t> </t>
        </is>
      </c>
      <c r="E103" s="66" t="inlineStr">
        <is>
          <t> </t>
        </is>
      </c>
    </row>
    <row r="104" ht="28.5" customHeight="1" s="71">
      <c r="A104" s="68" t="n">
        <v>102</v>
      </c>
      <c r="B104" s="68" t="inlineStr">
        <is>
          <t>,,/|)</t>
        </is>
      </c>
      <c r="C104" s="68" t="inlineStr">
        <is>
          <t>,,/|)</t>
        </is>
      </c>
      <c r="D104" s="66" t="inlineStr">
        <is>
          <t> </t>
        </is>
      </c>
      <c r="E104" s="66" t="inlineStr">
        <is>
          <t> </t>
        </is>
      </c>
    </row>
    <row r="105" ht="28.5" customHeight="1" s="71">
      <c r="A105" s="68" t="n">
        <v>103</v>
      </c>
      <c r="B105" s="68" t="inlineStr">
        <is>
          <t>,/|)</t>
        </is>
      </c>
      <c r="C105" s="68" t="inlineStr">
        <is>
          <t>,/|)</t>
        </is>
      </c>
      <c r="D105" s="66" t="inlineStr">
        <is>
          <t> </t>
        </is>
      </c>
      <c r="E105" s="66" t="inlineStr">
        <is>
          <t> </t>
        </is>
      </c>
    </row>
    <row r="106" ht="28.5" customHeight="1" s="71">
      <c r="A106" s="68" t="n">
        <v>104</v>
      </c>
      <c r="B106" s="68" t="inlineStr">
        <is>
          <t>/|)</t>
        </is>
      </c>
      <c r="C106" s="68" t="inlineStr">
        <is>
          <t>/|)</t>
        </is>
      </c>
      <c r="D106" s="66" t="inlineStr">
        <is>
          <t></t>
        </is>
      </c>
      <c r="E106" s="66" t="inlineStr">
        <is>
          <t></t>
        </is>
      </c>
    </row>
    <row r="107" ht="28.5" customHeight="1" s="71">
      <c r="A107" s="68" t="n">
        <v>105</v>
      </c>
      <c r="B107" s="68" t="inlineStr">
        <is>
          <t>`/|)</t>
        </is>
      </c>
      <c r="C107" s="68" t="inlineStr">
        <is>
          <t>`/|)</t>
        </is>
      </c>
      <c r="D107" s="66" t="inlineStr">
        <is>
          <t> </t>
        </is>
      </c>
      <c r="E107" s="66" t="inlineStr">
        <is>
          <t> </t>
        </is>
      </c>
    </row>
    <row r="108" ht="28.5" customHeight="1" s="71">
      <c r="A108" s="68" t="n">
        <v>106</v>
      </c>
      <c r="B108" s="68" t="inlineStr">
        <is>
          <t>(|~</t>
        </is>
      </c>
      <c r="C108" s="68" t="inlineStr">
        <is>
          <t>(|~</t>
        </is>
      </c>
      <c r="D108" s="66" t="inlineStr">
        <is>
          <t></t>
        </is>
      </c>
      <c r="E108" s="66" t="inlineStr">
        <is>
          <t></t>
        </is>
      </c>
    </row>
    <row r="109" ht="28.5" customHeight="1" s="71">
      <c r="A109" s="68" t="n">
        <v>107</v>
      </c>
      <c r="B109" s="68" t="inlineStr">
        <is>
          <t>,'/|)</t>
        </is>
      </c>
      <c r="C109" s="68" t="inlineStr">
        <is>
          <t>,'/|)</t>
        </is>
      </c>
      <c r="D109" s="66" t="inlineStr">
        <is>
          <t>  </t>
        </is>
      </c>
      <c r="E109" s="66" t="inlineStr">
        <is>
          <t>  </t>
        </is>
      </c>
    </row>
    <row r="110" ht="28.5" customHeight="1" s="71">
      <c r="A110" s="68" t="n">
        <v>108</v>
      </c>
      <c r="B110" s="68" t="inlineStr">
        <is>
          <t>'/|)</t>
        </is>
      </c>
      <c r="C110" s="68" t="inlineStr">
        <is>
          <t>'/|)</t>
        </is>
      </c>
      <c r="D110" s="66" t="inlineStr">
        <is>
          <t> </t>
        </is>
      </c>
      <c r="E110" s="66" t="inlineStr">
        <is>
          <t> </t>
        </is>
      </c>
    </row>
    <row r="111" ht="28.5" customHeight="1" s="71">
      <c r="A111" s="68" t="n">
        <v>109</v>
      </c>
      <c r="B111" s="68" t="inlineStr">
        <is>
          <t>`'/|)</t>
        </is>
      </c>
      <c r="C111" s="68" t="inlineStr">
        <is>
          <t>`'/|)</t>
        </is>
      </c>
      <c r="D111" s="66" t="inlineStr">
        <is>
          <t>  </t>
        </is>
      </c>
      <c r="E111" s="66" t="inlineStr">
        <is>
          <t>  </t>
        </is>
      </c>
    </row>
    <row r="112" ht="28.5" customHeight="1" s="71">
      <c r="A112" s="68" t="n">
        <v>110</v>
      </c>
      <c r="B112" s="68" t="inlineStr">
        <is>
          <t>./|\</t>
        </is>
      </c>
      <c r="C112" s="68" t="inlineStr">
        <is>
          <t>./|\</t>
        </is>
      </c>
      <c r="D112" s="66" t="inlineStr">
        <is>
          <t> </t>
        </is>
      </c>
      <c r="E112" s="66" t="inlineStr">
        <is>
          <t> </t>
        </is>
      </c>
    </row>
    <row r="113" ht="28.5" customHeight="1" s="71">
      <c r="A113" s="68" t="n">
        <v>111</v>
      </c>
      <c r="B113" s="68" t="inlineStr">
        <is>
          <t>`./|\</t>
        </is>
      </c>
      <c r="C113" s="68" t="inlineStr">
        <is>
          <t>`./|\</t>
        </is>
      </c>
      <c r="D113" s="66" t="inlineStr">
        <is>
          <t>  </t>
        </is>
      </c>
      <c r="E113" s="66" t="inlineStr">
        <is>
          <t>  </t>
        </is>
      </c>
    </row>
    <row r="114" ht="28.5" customHeight="1" s="71">
      <c r="A114" s="68" t="n">
        <v>112</v>
      </c>
      <c r="B114" s="68" t="inlineStr">
        <is>
          <t>,,/|\</t>
        </is>
      </c>
      <c r="C114" s="68" t="inlineStr">
        <is>
          <t>,,/|\</t>
        </is>
      </c>
      <c r="D114" s="66" t="inlineStr">
        <is>
          <t> </t>
        </is>
      </c>
      <c r="E114" s="66" t="inlineStr">
        <is>
          <t> </t>
        </is>
      </c>
    </row>
    <row r="115" ht="28.5" customHeight="1" s="71">
      <c r="A115" s="68" t="n">
        <v>113</v>
      </c>
      <c r="B115" s="68" t="inlineStr">
        <is>
          <t>,/|\</t>
        </is>
      </c>
      <c r="C115" s="68" t="inlineStr">
        <is>
          <t>,/|\</t>
        </is>
      </c>
      <c r="D115" s="66" t="inlineStr">
        <is>
          <t> </t>
        </is>
      </c>
      <c r="E115" s="66" t="inlineStr">
        <is>
          <t> </t>
        </is>
      </c>
    </row>
    <row r="116" ht="28.5" customHeight="1" s="71">
      <c r="A116" s="68" t="n">
        <v>114</v>
      </c>
      <c r="B116" s="68" t="inlineStr">
        <is>
          <t>/|\</t>
        </is>
      </c>
      <c r="C116" s="68" t="inlineStr">
        <is>
          <t>/|\</t>
        </is>
      </c>
      <c r="D116" s="66" t="inlineStr">
        <is>
          <t></t>
        </is>
      </c>
      <c r="E116" s="66" t="inlineStr">
        <is>
          <t></t>
        </is>
      </c>
    </row>
    <row r="117" ht="28.5" customHeight="1" s="71">
      <c r="A117" s="68" t="n">
        <v>115</v>
      </c>
      <c r="B117" s="68" t="inlineStr">
        <is>
          <t>`/|\</t>
        </is>
      </c>
      <c r="C117" s="68" t="inlineStr">
        <is>
          <t>`/|\</t>
        </is>
      </c>
      <c r="D117" s="66" t="inlineStr">
        <is>
          <t> </t>
        </is>
      </c>
      <c r="E117" s="66" t="inlineStr">
        <is>
          <t> </t>
        </is>
      </c>
    </row>
    <row r="118" ht="28.5" customHeight="1" s="71">
      <c r="A118" s="68" t="n">
        <v>116</v>
      </c>
      <c r="B118" s="68" t="inlineStr">
        <is>
          <t>,(/|</t>
        </is>
      </c>
      <c r="C118" s="68" t="inlineStr">
        <is>
          <t>,(/|</t>
        </is>
      </c>
      <c r="D118" s="66" t="inlineStr">
        <is>
          <t> </t>
        </is>
      </c>
      <c r="E118" s="66" t="inlineStr">
        <is>
          <t> </t>
        </is>
      </c>
    </row>
    <row r="119" ht="28.5" customHeight="1" s="71">
      <c r="A119" s="68" t="n">
        <v>117</v>
      </c>
      <c r="B119" s="68" t="inlineStr">
        <is>
          <t>(/|</t>
        </is>
      </c>
      <c r="C119" s="68" t="inlineStr">
        <is>
          <t>(/|</t>
        </is>
      </c>
      <c r="D119" s="66" t="inlineStr">
        <is>
          <t></t>
        </is>
      </c>
      <c r="E119" s="66" t="inlineStr">
        <is>
          <t></t>
        </is>
      </c>
    </row>
    <row r="120" ht="28.5" customHeight="1" s="71">
      <c r="A120" s="68" t="n">
        <v>118</v>
      </c>
      <c r="B120" s="68" t="inlineStr">
        <is>
          <t>`(/|</t>
        </is>
      </c>
      <c r="C120" s="68" t="inlineStr">
        <is>
          <t>`(/|</t>
        </is>
      </c>
      <c r="D120" s="66" t="inlineStr">
        <is>
          <t> </t>
        </is>
      </c>
      <c r="E120" s="66" t="inlineStr">
        <is>
          <t> </t>
        </is>
      </c>
    </row>
    <row r="121" ht="28.5" customHeight="1" s="71">
      <c r="A121" s="68" t="n">
        <v>119</v>
      </c>
      <c r="B121" s="68" t="inlineStr">
        <is>
          <t>'/|\</t>
        </is>
      </c>
      <c r="C121" s="68" t="inlineStr">
        <is>
          <t>'/|\</t>
        </is>
      </c>
      <c r="D121" s="66" t="inlineStr">
        <is>
          <t> </t>
        </is>
      </c>
      <c r="E121" s="66" t="inlineStr">
        <is>
          <t> </t>
        </is>
      </c>
    </row>
    <row r="122" ht="28.5" customHeight="1" s="71">
      <c r="A122" s="68" t="n">
        <v>120</v>
      </c>
      <c r="B122" s="68" t="inlineStr">
        <is>
          <t>`'/|\</t>
        </is>
      </c>
      <c r="C122" s="68" t="inlineStr">
        <is>
          <t>`'/|\</t>
        </is>
      </c>
      <c r="D122" s="66" t="inlineStr">
        <is>
          <t>  </t>
        </is>
      </c>
      <c r="E122" s="66" t="inlineStr">
        <is>
          <t>  </t>
        </is>
      </c>
    </row>
    <row r="123" ht="28.5" customHeight="1" s="71">
      <c r="A123" s="68" t="n">
        <v>121</v>
      </c>
      <c r="B123" s="68" t="inlineStr">
        <is>
          <t>,)/|\</t>
        </is>
      </c>
      <c r="C123" s="68" t="inlineStr">
        <is>
          <t>,)/|\</t>
        </is>
      </c>
      <c r="D123" s="66" t="inlineStr">
        <is>
          <t> </t>
        </is>
      </c>
      <c r="E123" s="66" t="inlineStr">
        <is>
          <t> </t>
        </is>
      </c>
    </row>
    <row r="124" ht="28.5" customHeight="1" s="71">
      <c r="A124" s="68" t="n">
        <v>122</v>
      </c>
      <c r="B124" s="68" t="inlineStr">
        <is>
          <t>)/|\</t>
        </is>
      </c>
      <c r="C124" s="68" t="inlineStr">
        <is>
          <t>)/|\</t>
        </is>
      </c>
      <c r="D124" s="66" t="inlineStr">
        <is>
          <t></t>
        </is>
      </c>
      <c r="E124" s="66" t="inlineStr">
        <is>
          <t></t>
        </is>
      </c>
    </row>
    <row r="125" ht="28.5" customHeight="1" s="71">
      <c r="A125" s="68" t="n">
        <v>123</v>
      </c>
      <c r="B125" s="68" t="inlineStr">
        <is>
          <t>`)/|\</t>
        </is>
      </c>
      <c r="C125" s="68" t="inlineStr">
        <is>
          <t>`)/|\</t>
        </is>
      </c>
      <c r="D125" s="66" t="inlineStr">
        <is>
          <t> </t>
        </is>
      </c>
      <c r="E125" s="66" t="inlineStr">
        <is>
          <t> </t>
        </is>
      </c>
    </row>
    <row r="126" ht="28.5" customHeight="1" s="71">
      <c r="A126" s="68" t="n">
        <v>124</v>
      </c>
      <c r="B126" s="68" t="inlineStr">
        <is>
          <t>``)/|\</t>
        </is>
      </c>
      <c r="C126" s="68" t="inlineStr">
        <is>
          <t>``)/|\</t>
        </is>
      </c>
      <c r="D126" s="66" t="inlineStr">
        <is>
          <t> </t>
        </is>
      </c>
      <c r="E126" s="66" t="inlineStr">
        <is>
          <t> </t>
        </is>
      </c>
    </row>
    <row r="127" ht="28.5" customHeight="1" s="71">
      <c r="A127" s="68" t="n">
        <v>125</v>
      </c>
      <c r="B127" s="68" t="inlineStr">
        <is>
          <t>,.(|)</t>
        </is>
      </c>
      <c r="C127" s="68" t="inlineStr">
        <is>
          <t>,.(|)</t>
        </is>
      </c>
      <c r="D127" s="66" t="inlineStr">
        <is>
          <t>  </t>
        </is>
      </c>
      <c r="E127" s="66" t="inlineStr">
        <is>
          <t>  </t>
        </is>
      </c>
    </row>
    <row r="128" ht="28.5" customHeight="1" s="71">
      <c r="A128" s="68" t="n">
        <v>126</v>
      </c>
      <c r="B128" s="68" t="inlineStr">
        <is>
          <t>.(|)</t>
        </is>
      </c>
      <c r="C128" s="68" t="inlineStr">
        <is>
          <t>.(|)</t>
        </is>
      </c>
      <c r="D128" s="66" t="inlineStr">
        <is>
          <t> </t>
        </is>
      </c>
      <c r="E128" s="66" t="inlineStr">
        <is>
          <t> </t>
        </is>
      </c>
    </row>
    <row r="129" ht="28.5" customHeight="1" s="71">
      <c r="A129" s="68" t="n">
        <v>127</v>
      </c>
      <c r="B129" s="68" t="inlineStr">
        <is>
          <t>,|\)</t>
        </is>
      </c>
      <c r="C129" s="68" t="inlineStr">
        <is>
          <t>,|\)</t>
        </is>
      </c>
      <c r="D129" s="66" t="inlineStr">
        <is>
          <t> </t>
        </is>
      </c>
      <c r="E129" s="66" t="inlineStr">
        <is>
          <t> </t>
        </is>
      </c>
    </row>
    <row r="130" ht="28.5" customHeight="1" s="71">
      <c r="A130" s="68" t="n">
        <v>128</v>
      </c>
      <c r="B130" s="68" t="inlineStr">
        <is>
          <t>|\)</t>
        </is>
      </c>
      <c r="C130" s="68" t="inlineStr">
        <is>
          <t>|\)</t>
        </is>
      </c>
      <c r="D130" s="66" t="inlineStr">
        <is>
          <t></t>
        </is>
      </c>
      <c r="E130" s="66" t="inlineStr">
        <is>
          <t></t>
        </is>
      </c>
    </row>
    <row r="131" ht="28.5" customHeight="1" s="71">
      <c r="A131" s="68" t="n">
        <v>129</v>
      </c>
      <c r="B131" s="68" t="inlineStr">
        <is>
          <t>`|\)</t>
        </is>
      </c>
      <c r="C131" s="68" t="inlineStr">
        <is>
          <t>`|\)</t>
        </is>
      </c>
      <c r="D131" s="66" t="inlineStr">
        <is>
          <t> </t>
        </is>
      </c>
      <c r="E131" s="66" t="inlineStr">
        <is>
          <t> </t>
        </is>
      </c>
    </row>
    <row r="132" ht="28.5" customHeight="1" s="71">
      <c r="A132" s="68" t="n">
        <v>130</v>
      </c>
      <c r="B132" s="68" t="inlineStr">
        <is>
          <t>,(|)</t>
        </is>
      </c>
      <c r="C132" s="68" t="inlineStr">
        <is>
          <t>,(|)</t>
        </is>
      </c>
      <c r="D132" s="66" t="inlineStr">
        <is>
          <t> </t>
        </is>
      </c>
      <c r="E132" s="66" t="inlineStr">
        <is>
          <t> </t>
        </is>
      </c>
    </row>
    <row r="133" ht="28.5" customHeight="1" s="71">
      <c r="A133" s="68" t="n">
        <v>131</v>
      </c>
      <c r="B133" s="68" t="inlineStr">
        <is>
          <t>(|)</t>
        </is>
      </c>
      <c r="C133" s="68" t="inlineStr">
        <is>
          <t>(|)</t>
        </is>
      </c>
      <c r="D133" s="66" t="inlineStr">
        <is>
          <t></t>
        </is>
      </c>
      <c r="E133" s="66" t="inlineStr">
        <is>
          <t></t>
        </is>
      </c>
    </row>
    <row r="134" ht="28.5" customHeight="1" s="71">
      <c r="A134" s="68" t="n">
        <v>132</v>
      </c>
      <c r="B134" s="68" t="inlineStr">
        <is>
          <t>`(|)</t>
        </is>
      </c>
      <c r="C134" s="68" t="inlineStr">
        <is>
          <t>`(|)</t>
        </is>
      </c>
      <c r="D134" s="66" t="inlineStr">
        <is>
          <t> </t>
        </is>
      </c>
      <c r="E134" s="66" t="inlineStr">
        <is>
          <t> </t>
        </is>
      </c>
    </row>
    <row r="135" ht="28.5" customHeight="1" s="71">
      <c r="A135" s="68" t="n">
        <v>133</v>
      </c>
      <c r="B135" s="68" t="inlineStr">
        <is>
          <t>``(|)</t>
        </is>
      </c>
      <c r="C135" s="68" t="inlineStr">
        <is>
          <t>``(|)</t>
        </is>
      </c>
      <c r="D135" s="66" t="inlineStr">
        <is>
          <t> </t>
        </is>
      </c>
      <c r="E135" s="66" t="inlineStr">
        <is>
          <t> </t>
        </is>
      </c>
    </row>
    <row r="136" ht="28.5" customHeight="1" s="71">
      <c r="A136" s="68" t="n">
        <v>134</v>
      </c>
      <c r="B136" s="68" t="inlineStr">
        <is>
          <t>,'(|)</t>
        </is>
      </c>
      <c r="C136" s="68" t="inlineStr">
        <is>
          <t>,'(|)</t>
        </is>
      </c>
      <c r="D136" s="66" t="inlineStr">
        <is>
          <t>  </t>
        </is>
      </c>
      <c r="E136" s="66" t="inlineStr">
        <is>
          <t>  </t>
        </is>
      </c>
    </row>
    <row r="137" ht="28.5" customHeight="1" s="71">
      <c r="A137" s="68" t="n">
        <v>135</v>
      </c>
      <c r="B137" s="68" t="inlineStr">
        <is>
          <t>'(|)</t>
        </is>
      </c>
      <c r="C137" s="68" t="inlineStr">
        <is>
          <t>'(|)</t>
        </is>
      </c>
      <c r="D137" s="66" t="inlineStr">
        <is>
          <t> </t>
        </is>
      </c>
      <c r="E137" s="66" t="inlineStr">
        <is>
          <t> </t>
        </is>
      </c>
    </row>
    <row r="138" ht="28.5" customHeight="1" s="71">
      <c r="A138" s="68" t="n">
        <v>136</v>
      </c>
      <c r="B138" s="68" t="inlineStr">
        <is>
          <t>,.(|\</t>
        </is>
      </c>
      <c r="C138" s="68" t="inlineStr">
        <is>
          <t>,.(|\</t>
        </is>
      </c>
      <c r="D138" s="66" t="inlineStr">
        <is>
          <t>  </t>
        </is>
      </c>
      <c r="E138" s="66" t="inlineStr">
        <is>
          <t>  </t>
        </is>
      </c>
    </row>
    <row r="139" ht="28.5" customHeight="1" s="71">
      <c r="A139" s="68" t="n">
        <v>137</v>
      </c>
      <c r="B139" s="68" t="inlineStr">
        <is>
          <t>.(|\</t>
        </is>
      </c>
      <c r="C139" s="68" t="inlineStr">
        <is>
          <t>.(|\</t>
        </is>
      </c>
      <c r="D139" s="66" t="inlineStr">
        <is>
          <t> </t>
        </is>
      </c>
      <c r="E139" s="66" t="inlineStr">
        <is>
          <t> </t>
        </is>
      </c>
    </row>
    <row r="140" ht="28.5" customHeight="1" s="71">
      <c r="A140" s="68" t="n">
        <v>138</v>
      </c>
      <c r="B140" s="68" t="inlineStr">
        <is>
          <t>`.(|\</t>
        </is>
      </c>
      <c r="C140" s="68" t="inlineStr">
        <is>
          <t>`.(|\</t>
        </is>
      </c>
      <c r="D140" s="66" t="inlineStr">
        <is>
          <t>  </t>
        </is>
      </c>
      <c r="E140" s="66" t="inlineStr">
        <is>
          <t>  </t>
        </is>
      </c>
    </row>
    <row r="141" ht="28.5" customHeight="1" s="71">
      <c r="A141" s="68" t="n">
        <v>139</v>
      </c>
      <c r="B141" s="68" t="inlineStr">
        <is>
          <t>|\\</t>
        </is>
      </c>
      <c r="C141" s="68" t="inlineStr">
        <is>
          <t>|\\</t>
        </is>
      </c>
      <c r="D141" s="66" t="inlineStr">
        <is>
          <t></t>
        </is>
      </c>
      <c r="E141" s="66" t="inlineStr">
        <is>
          <t></t>
        </is>
      </c>
    </row>
    <row r="142" ht="28.5" customHeight="1" s="71">
      <c r="A142" s="68" t="n">
        <v>140</v>
      </c>
      <c r="B142" s="68" t="inlineStr">
        <is>
          <t>,(|\</t>
        </is>
      </c>
      <c r="C142" s="68" t="inlineStr">
        <is>
          <t>,(|\</t>
        </is>
      </c>
      <c r="D142" s="66" t="inlineStr">
        <is>
          <t> </t>
        </is>
      </c>
      <c r="E142" s="66" t="inlineStr">
        <is>
          <t> </t>
        </is>
      </c>
    </row>
    <row r="143" ht="28.5" customHeight="1" s="71">
      <c r="A143" s="68" t="n">
        <v>141</v>
      </c>
      <c r="B143" s="68" t="inlineStr">
        <is>
          <t>(|\</t>
        </is>
      </c>
      <c r="C143" s="68" t="inlineStr">
        <is>
          <t>(|\</t>
        </is>
      </c>
      <c r="D143" s="66" t="inlineStr">
        <is>
          <t></t>
        </is>
      </c>
      <c r="E143" s="66" t="inlineStr">
        <is>
          <t></t>
        </is>
      </c>
    </row>
    <row r="144" ht="28.5" customHeight="1" s="71">
      <c r="A144" s="68" t="n">
        <v>142</v>
      </c>
      <c r="B144" s="68" t="inlineStr">
        <is>
          <t>`(|\</t>
        </is>
      </c>
      <c r="C144" s="68" t="inlineStr">
        <is>
          <t>`(|\</t>
        </is>
      </c>
      <c r="D144" s="66" t="inlineStr">
        <is>
          <t> </t>
        </is>
      </c>
      <c r="E144" s="66" t="inlineStr">
        <is>
          <t> </t>
        </is>
      </c>
    </row>
    <row r="145" ht="28.5" customHeight="1" s="71">
      <c r="A145" s="68" t="n">
        <v>143</v>
      </c>
      <c r="B145" s="68" t="inlineStr">
        <is>
          <t>``(|\</t>
        </is>
      </c>
      <c r="C145" s="68" t="inlineStr">
        <is>
          <t>``(|\</t>
        </is>
      </c>
      <c r="D145" s="69" t="inlineStr">
        <is>
          <t> </t>
        </is>
      </c>
      <c r="E145" s="69" t="inlineStr">
        <is>
          <t> </t>
        </is>
      </c>
    </row>
    <row r="146" ht="28.5" customHeight="1" s="71">
      <c r="A146" s="68" t="n">
        <v>144</v>
      </c>
      <c r="B146" s="68" t="inlineStr">
        <is>
          <t>,,)|\\</t>
        </is>
      </c>
      <c r="C146" s="68" t="inlineStr">
        <is>
          <t>,,)|\\</t>
        </is>
      </c>
      <c r="D146" s="66" t="inlineStr">
        <is>
          <t> </t>
        </is>
      </c>
      <c r="E146" s="66" t="inlineStr">
        <is>
          <t> </t>
        </is>
      </c>
    </row>
    <row r="147" ht="28.5" customHeight="1" s="71">
      <c r="A147" s="68" t="n">
        <v>145</v>
      </c>
      <c r="B147" s="68" t="inlineStr">
        <is>
          <t>,)|\\</t>
        </is>
      </c>
      <c r="C147" s="68" t="inlineStr">
        <is>
          <t>,)|\\</t>
        </is>
      </c>
      <c r="D147" s="66" t="inlineStr">
        <is>
          <t> </t>
        </is>
      </c>
      <c r="E147" s="66" t="inlineStr">
        <is>
          <t> </t>
        </is>
      </c>
    </row>
    <row r="148" ht="28.5" customHeight="1" s="71">
      <c r="A148" s="68" t="n">
        <v>146</v>
      </c>
      <c r="B148" s="68" t="inlineStr">
        <is>
          <t>)|\\</t>
        </is>
      </c>
      <c r="C148" s="68" t="inlineStr">
        <is>
          <t>)|\\</t>
        </is>
      </c>
      <c r="D148" s="66" t="inlineStr">
        <is>
          <t></t>
        </is>
      </c>
      <c r="E148" s="66" t="inlineStr">
        <is>
          <t></t>
        </is>
      </c>
    </row>
    <row r="149" ht="28.5" customHeight="1" s="71">
      <c r="A149" s="68" t="n">
        <v>147</v>
      </c>
      <c r="B149" s="68" t="inlineStr">
        <is>
          <t>`)|\\</t>
        </is>
      </c>
      <c r="C149" s="68" t="inlineStr">
        <is>
          <t>`)|\\</t>
        </is>
      </c>
      <c r="D149" s="69" t="inlineStr">
        <is>
          <t> </t>
        </is>
      </c>
      <c r="E149" s="66" t="inlineStr">
        <is>
          <t> </t>
        </is>
      </c>
    </row>
    <row r="150" ht="28.5" customHeight="1" s="71">
      <c r="A150" s="68" t="n">
        <v>148</v>
      </c>
      <c r="B150" s="68" t="inlineStr">
        <is>
          <t>``)|\\</t>
        </is>
      </c>
      <c r="C150" s="68" t="inlineStr">
        <is>
          <t>``)|\\</t>
        </is>
      </c>
      <c r="D150" s="69" t="inlineStr">
        <is>
          <t> </t>
        </is>
      </c>
      <c r="E150" s="69" t="inlineStr">
        <is>
          <t> </t>
        </is>
      </c>
    </row>
    <row r="151" ht="28.5" customHeight="1" s="71">
      <c r="A151" s="68" t="n">
        <v>-1</v>
      </c>
      <c r="B151" s="68" t="inlineStr">
        <is>
          <t>,!</t>
        </is>
      </c>
      <c r="C151" s="68" t="inlineStr">
        <is>
          <t>,!</t>
        </is>
      </c>
      <c r="D151" s="66" t="inlineStr">
        <is>
          <t> </t>
        </is>
      </c>
      <c r="E151" s="66" t="inlineStr">
        <is>
          <t> </t>
        </is>
      </c>
    </row>
    <row r="152" ht="28.5" customHeight="1" s="71">
      <c r="A152" s="68" t="n">
        <v>-2</v>
      </c>
      <c r="B152" s="68" t="inlineStr">
        <is>
          <t>,,!</t>
        </is>
      </c>
      <c r="C152" s="68" t="inlineStr">
        <is>
          <t>,,!</t>
        </is>
      </c>
      <c r="D152" s="66" t="inlineStr">
        <is>
          <t> </t>
        </is>
      </c>
      <c r="E152" s="66" t="inlineStr">
        <is>
          <t> </t>
        </is>
      </c>
    </row>
    <row r="153" ht="28.5" customHeight="1" s="71">
      <c r="A153" s="68" t="n">
        <v>-3</v>
      </c>
      <c r="B153" s="68" t="inlineStr">
        <is>
          <t>')!</t>
        </is>
      </c>
      <c r="C153" s="68" t="inlineStr">
        <is>
          <t>')!</t>
        </is>
      </c>
      <c r="D153" s="66" t="inlineStr">
        <is>
          <t> </t>
        </is>
      </c>
      <c r="E153" s="66" t="inlineStr">
        <is>
          <t> </t>
        </is>
      </c>
    </row>
    <row r="154" ht="28.5" customHeight="1" s="71">
      <c r="A154" s="68" t="n">
        <v>-4</v>
      </c>
      <c r="B154" s="68" t="inlineStr">
        <is>
          <t>.!</t>
        </is>
      </c>
      <c r="C154" s="68" t="inlineStr">
        <is>
          <t>.!</t>
        </is>
      </c>
      <c r="D154" s="66" t="inlineStr">
        <is>
          <t> </t>
        </is>
      </c>
      <c r="E154" s="66" t="inlineStr">
        <is>
          <t> </t>
        </is>
      </c>
    </row>
    <row r="155" ht="28.5" customHeight="1" s="71">
      <c r="A155" s="68" t="n">
        <v>-5</v>
      </c>
      <c r="B155" s="68" t="inlineStr">
        <is>
          <t>,.!</t>
        </is>
      </c>
      <c r="C155" s="68" t="inlineStr">
        <is>
          <t>,.!</t>
        </is>
      </c>
      <c r="D155" s="66" t="inlineStr">
        <is>
          <t>  </t>
        </is>
      </c>
      <c r="E155" s="66" t="inlineStr">
        <is>
          <t>  </t>
        </is>
      </c>
    </row>
    <row r="156" ht="28.5" customHeight="1" s="71">
      <c r="A156" s="68" t="n">
        <v>-6</v>
      </c>
      <c r="B156" s="68" t="inlineStr">
        <is>
          <t>`)!</t>
        </is>
      </c>
      <c r="C156" s="68" t="inlineStr">
        <is>
          <t>`)!</t>
        </is>
      </c>
      <c r="D156" s="66" t="inlineStr">
        <is>
          <t> </t>
        </is>
      </c>
      <c r="E156" s="66" t="inlineStr">
        <is>
          <t> </t>
        </is>
      </c>
    </row>
    <row r="157" ht="28.5" customHeight="1" s="71">
      <c r="A157" s="68" t="n">
        <v>-7</v>
      </c>
      <c r="B157" s="68" t="inlineStr">
        <is>
          <t>)!</t>
        </is>
      </c>
      <c r="C157" s="68" t="inlineStr">
        <is>
          <t>)!</t>
        </is>
      </c>
      <c r="D157" s="66" t="inlineStr">
        <is>
          <t></t>
        </is>
      </c>
      <c r="E157" s="66" t="inlineStr">
        <is>
          <t></t>
        </is>
      </c>
    </row>
    <row r="158" ht="28.5" customHeight="1" s="71">
      <c r="A158" s="68" t="n">
        <v>-8</v>
      </c>
      <c r="B158" s="68" t="inlineStr">
        <is>
          <t>,)!</t>
        </is>
      </c>
      <c r="C158" s="68" t="inlineStr">
        <is>
          <t>,)!</t>
        </is>
      </c>
      <c r="D158" s="66" t="inlineStr">
        <is>
          <t> </t>
        </is>
      </c>
      <c r="E158" s="66" t="inlineStr">
        <is>
          <t> </t>
        </is>
      </c>
    </row>
    <row r="159" ht="28.5" customHeight="1" s="71">
      <c r="A159" s="68" t="n">
        <v>-9</v>
      </c>
      <c r="B159" s="68" t="inlineStr">
        <is>
          <t>,,)!</t>
        </is>
      </c>
      <c r="C159" s="68" t="inlineStr">
        <is>
          <t>,,)!</t>
        </is>
      </c>
      <c r="D159" s="66" t="inlineStr">
        <is>
          <t> </t>
        </is>
      </c>
      <c r="E159" s="66" t="inlineStr">
        <is>
          <t> </t>
        </is>
      </c>
    </row>
    <row r="160" ht="28.5" customHeight="1" s="71">
      <c r="A160" s="68" t="n">
        <v>-10</v>
      </c>
      <c r="B160" s="68" t="inlineStr">
        <is>
          <t>``!(</t>
        </is>
      </c>
      <c r="C160" s="68" t="inlineStr">
        <is>
          <t>``!(</t>
        </is>
      </c>
      <c r="D160" s="66" t="inlineStr">
        <is>
          <t> </t>
        </is>
      </c>
      <c r="E160" s="66" t="inlineStr">
        <is>
          <t> </t>
        </is>
      </c>
    </row>
    <row r="161" ht="28.5" customHeight="1" s="71">
      <c r="A161" s="68" t="n">
        <v>-11</v>
      </c>
      <c r="B161" s="68" t="inlineStr">
        <is>
          <t>`!(</t>
        </is>
      </c>
      <c r="C161" s="68" t="inlineStr">
        <is>
          <t>`!(</t>
        </is>
      </c>
      <c r="D161" s="66" t="inlineStr">
        <is>
          <t> </t>
        </is>
      </c>
      <c r="E161" s="66" t="inlineStr">
        <is>
          <t> </t>
        </is>
      </c>
    </row>
    <row r="162" ht="28.5" customHeight="1" s="71">
      <c r="A162" s="68" t="n">
        <v>-12</v>
      </c>
      <c r="B162" s="68" t="inlineStr">
        <is>
          <t>!(</t>
        </is>
      </c>
      <c r="C162" s="68" t="inlineStr">
        <is>
          <t>!(</t>
        </is>
      </c>
      <c r="D162" s="66" t="inlineStr">
        <is>
          <t></t>
        </is>
      </c>
      <c r="E162" s="66" t="inlineStr">
        <is>
          <t></t>
        </is>
      </c>
    </row>
    <row r="163" ht="28.5" customHeight="1" s="71">
      <c r="A163" s="68" t="n">
        <v>-13</v>
      </c>
      <c r="B163" s="68" t="inlineStr">
        <is>
          <t>,!(</t>
        </is>
      </c>
      <c r="C163" s="68" t="inlineStr">
        <is>
          <t>,!(</t>
        </is>
      </c>
      <c r="D163" s="66" t="inlineStr">
        <is>
          <t> </t>
        </is>
      </c>
      <c r="E163" s="66" t="inlineStr">
        <is>
          <t> </t>
        </is>
      </c>
    </row>
    <row r="164" ht="28.5" customHeight="1" s="71">
      <c r="A164" s="68" t="n">
        <v>-14</v>
      </c>
      <c r="B164" s="68" t="inlineStr">
        <is>
          <t>'~!</t>
        </is>
      </c>
      <c r="C164" s="68" t="inlineStr">
        <is>
          <t>'~!</t>
        </is>
      </c>
      <c r="D164" s="66" t="inlineStr">
        <is>
          <t> </t>
        </is>
      </c>
      <c r="E164" s="66" t="inlineStr">
        <is>
          <t> </t>
        </is>
      </c>
    </row>
    <row r="165" ht="28.5" customHeight="1" s="71">
      <c r="A165" s="68" t="n">
        <v>-15</v>
      </c>
      <c r="B165" s="68" t="inlineStr">
        <is>
          <t>`.!(</t>
        </is>
      </c>
      <c r="C165" s="68" t="inlineStr">
        <is>
          <t>`.!(</t>
        </is>
      </c>
      <c r="D165" s="66" t="inlineStr">
        <is>
          <t>  </t>
        </is>
      </c>
      <c r="E165" s="66" t="inlineStr">
        <is>
          <t>  </t>
        </is>
      </c>
    </row>
    <row r="166" ht="28.5" customHeight="1" s="71">
      <c r="A166" s="68" t="n">
        <v>-16</v>
      </c>
      <c r="B166" s="68" t="inlineStr">
        <is>
          <t>.!(</t>
        </is>
      </c>
      <c r="C166" s="68" t="inlineStr">
        <is>
          <t>.!(</t>
        </is>
      </c>
      <c r="D166" s="66" t="inlineStr">
        <is>
          <t> </t>
        </is>
      </c>
      <c r="E166" s="66" t="inlineStr">
        <is>
          <t> </t>
        </is>
      </c>
    </row>
    <row r="167" ht="28.5" customHeight="1" s="71">
      <c r="A167" s="68" t="n">
        <v>-17</v>
      </c>
      <c r="B167" s="68" t="inlineStr">
        <is>
          <t>`~!</t>
        </is>
      </c>
      <c r="C167" s="68" t="inlineStr">
        <is>
          <t>`~!</t>
        </is>
      </c>
      <c r="D167" s="66" t="inlineStr">
        <is>
          <t> </t>
        </is>
      </c>
      <c r="E167" s="66" t="inlineStr">
        <is>
          <t> </t>
        </is>
      </c>
    </row>
    <row r="168" ht="28.5" customHeight="1" s="71">
      <c r="A168" s="68" t="n">
        <v>-18</v>
      </c>
      <c r="B168" s="68" t="inlineStr">
        <is>
          <t>~!</t>
        </is>
      </c>
      <c r="C168" s="68" t="inlineStr">
        <is>
          <t>~!</t>
        </is>
      </c>
      <c r="D168" s="66" t="inlineStr">
        <is>
          <t></t>
        </is>
      </c>
      <c r="E168" s="66" t="inlineStr">
        <is>
          <t></t>
        </is>
      </c>
    </row>
    <row r="169" ht="28.5" customHeight="1" s="71">
      <c r="A169" s="68" t="n">
        <v>-19</v>
      </c>
      <c r="B169" s="68" t="inlineStr">
        <is>
          <t>`)!(</t>
        </is>
      </c>
      <c r="C169" s="68" t="inlineStr">
        <is>
          <t>`)!(</t>
        </is>
      </c>
      <c r="D169" s="66" t="inlineStr">
        <is>
          <t> </t>
        </is>
      </c>
      <c r="E169" s="66" t="inlineStr">
        <is>
          <t> </t>
        </is>
      </c>
    </row>
    <row r="170" ht="28.5" customHeight="1" s="71">
      <c r="A170" s="68" t="n">
        <v>-20</v>
      </c>
      <c r="B170" s="68" t="inlineStr">
        <is>
          <t>)!(</t>
        </is>
      </c>
      <c r="C170" s="68" t="inlineStr">
        <is>
          <t>)!(</t>
        </is>
      </c>
      <c r="D170" s="66" t="inlineStr">
        <is>
          <t></t>
        </is>
      </c>
      <c r="E170" s="66" t="inlineStr">
        <is>
          <t></t>
        </is>
      </c>
    </row>
    <row r="171" ht="28.5" customHeight="1" s="71">
      <c r="A171" s="68" t="n">
        <v>-21</v>
      </c>
      <c r="B171" s="68" t="inlineStr">
        <is>
          <t>,)!(</t>
        </is>
      </c>
      <c r="C171" s="68" t="inlineStr">
        <is>
          <t>,)!(</t>
        </is>
      </c>
      <c r="D171" s="66" t="inlineStr">
        <is>
          <t> </t>
        </is>
      </c>
      <c r="E171" s="66" t="inlineStr">
        <is>
          <t> </t>
        </is>
      </c>
    </row>
    <row r="172" ht="28.5" customHeight="1" s="71">
      <c r="A172" s="68" t="n">
        <v>-22</v>
      </c>
      <c r="B172" s="68" t="inlineStr">
        <is>
          <t>,,)!(</t>
        </is>
      </c>
      <c r="C172" s="68" t="inlineStr">
        <is>
          <t>,,)!(</t>
        </is>
      </c>
      <c r="D172" s="66" t="inlineStr">
        <is>
          <t> </t>
        </is>
      </c>
      <c r="E172" s="66" t="inlineStr">
        <is>
          <t> </t>
        </is>
      </c>
    </row>
    <row r="173" ht="28.5" customHeight="1" s="71">
      <c r="A173" s="68" t="n">
        <v>-23</v>
      </c>
      <c r="B173" s="68" t="inlineStr">
        <is>
          <t>`.)!(</t>
        </is>
      </c>
      <c r="C173" s="68" t="inlineStr">
        <is>
          <t>`.)!(</t>
        </is>
      </c>
      <c r="D173" s="66" t="inlineStr">
        <is>
          <t>  </t>
        </is>
      </c>
      <c r="E173" s="66" t="inlineStr">
        <is>
          <t>  </t>
        </is>
      </c>
    </row>
    <row r="174" ht="28.5" customHeight="1" s="71">
      <c r="A174" s="68" t="n">
        <v>-24</v>
      </c>
      <c r="B174" s="68" t="inlineStr">
        <is>
          <t>.)!(</t>
        </is>
      </c>
      <c r="C174" s="68" t="inlineStr">
        <is>
          <t>.)!(</t>
        </is>
      </c>
      <c r="D174" s="66" t="inlineStr">
        <is>
          <t> </t>
        </is>
      </c>
      <c r="E174" s="66" t="inlineStr">
        <is>
          <t> </t>
        </is>
      </c>
    </row>
    <row r="175" ht="28.5" customHeight="1" s="71">
      <c r="A175" s="68" t="n">
        <v>-25</v>
      </c>
      <c r="B175" s="68" t="inlineStr">
        <is>
          <t>)~!</t>
        </is>
      </c>
      <c r="C175" s="68" t="inlineStr">
        <is>
          <t>)~!</t>
        </is>
      </c>
      <c r="D175" s="66" t="inlineStr">
        <is>
          <t></t>
        </is>
      </c>
      <c r="E175" s="66" t="inlineStr">
        <is>
          <t></t>
        </is>
      </c>
    </row>
    <row r="176" ht="28.5" customHeight="1" s="71">
      <c r="A176" s="68" t="n">
        <v>-26</v>
      </c>
      <c r="B176" s="68" t="inlineStr">
        <is>
          <t>'~!(</t>
        </is>
      </c>
      <c r="C176" s="68" t="inlineStr">
        <is>
          <t>'~!(</t>
        </is>
      </c>
      <c r="D176" s="66" t="inlineStr">
        <is>
          <t> </t>
        </is>
      </c>
      <c r="E176" s="66" t="inlineStr">
        <is>
          <t> </t>
        </is>
      </c>
    </row>
    <row r="177" ht="28.5" customHeight="1" s="71">
      <c r="A177" s="68" t="n">
        <v>-27</v>
      </c>
      <c r="B177" s="68" t="inlineStr">
        <is>
          <t>,'~!(</t>
        </is>
      </c>
      <c r="C177" s="68" t="inlineStr">
        <is>
          <t>,'~!(</t>
        </is>
      </c>
      <c r="D177" s="66" t="inlineStr">
        <is>
          <t>  </t>
        </is>
      </c>
      <c r="E177" s="66" t="inlineStr">
        <is>
          <t>  </t>
        </is>
      </c>
    </row>
    <row r="178" ht="28.5" customHeight="1" s="71">
      <c r="A178" s="68" t="n">
        <v>-28</v>
      </c>
      <c r="B178" s="68" t="inlineStr">
        <is>
          <t>``~!(</t>
        </is>
      </c>
      <c r="C178" s="68" t="inlineStr">
        <is>
          <t>``~!(</t>
        </is>
      </c>
      <c r="D178" s="66" t="inlineStr">
        <is>
          <t> </t>
        </is>
      </c>
      <c r="E178" s="66" t="inlineStr">
        <is>
          <t> </t>
        </is>
      </c>
    </row>
    <row r="179" ht="28.5" customHeight="1" s="71">
      <c r="A179" s="68" t="n">
        <v>-29</v>
      </c>
      <c r="B179" s="68" t="inlineStr">
        <is>
          <t>`~!(</t>
        </is>
      </c>
      <c r="C179" s="68" t="inlineStr">
        <is>
          <t>`~!(</t>
        </is>
      </c>
      <c r="D179" s="66" t="inlineStr">
        <is>
          <t> </t>
        </is>
      </c>
      <c r="E179" s="66" t="inlineStr">
        <is>
          <t> </t>
        </is>
      </c>
    </row>
    <row r="180" ht="28.5" customHeight="1" s="71">
      <c r="A180" s="68" t="n">
        <v>-30</v>
      </c>
      <c r="B180" s="68" t="inlineStr">
        <is>
          <t>~!(</t>
        </is>
      </c>
      <c r="C180" s="68" t="inlineStr">
        <is>
          <t>~!(</t>
        </is>
      </c>
      <c r="D180" s="66" t="inlineStr">
        <is>
          <t></t>
        </is>
      </c>
      <c r="E180" s="66" t="inlineStr">
        <is>
          <t></t>
        </is>
      </c>
    </row>
    <row r="181" ht="28.5" customHeight="1" s="71">
      <c r="A181" s="68" t="n">
        <v>-31</v>
      </c>
      <c r="B181" s="68" t="inlineStr">
        <is>
          <t>,~!(</t>
        </is>
      </c>
      <c r="C181" s="68" t="inlineStr">
        <is>
          <t>,~!(</t>
        </is>
      </c>
      <c r="D181" s="66" t="inlineStr">
        <is>
          <t> </t>
        </is>
      </c>
      <c r="E181" s="66" t="inlineStr">
        <is>
          <t> </t>
        </is>
      </c>
    </row>
    <row r="182" ht="28.5" customHeight="1" s="71">
      <c r="A182" s="68" t="n">
        <v>-32</v>
      </c>
      <c r="B182" s="68" t="inlineStr">
        <is>
          <t>``!~</t>
        </is>
      </c>
      <c r="C182" s="68" t="inlineStr">
        <is>
          <t>``!~</t>
        </is>
      </c>
      <c r="D182" s="66" t="inlineStr">
        <is>
          <t> </t>
        </is>
      </c>
      <c r="E182" s="66" t="inlineStr">
        <is>
          <t> </t>
        </is>
      </c>
    </row>
    <row r="183" ht="28.5" customHeight="1" s="71">
      <c r="A183" s="68" t="n">
        <v>-33</v>
      </c>
      <c r="B183" s="68" t="inlineStr">
        <is>
          <t>`!~</t>
        </is>
      </c>
      <c r="C183" s="68" t="inlineStr">
        <is>
          <t>`!~</t>
        </is>
      </c>
      <c r="D183" s="66" t="inlineStr">
        <is>
          <t> </t>
        </is>
      </c>
      <c r="E183" s="66" t="inlineStr">
        <is>
          <t> </t>
        </is>
      </c>
    </row>
    <row r="184" ht="28.5" customHeight="1" s="71">
      <c r="A184" s="68" t="n">
        <v>-34</v>
      </c>
      <c r="B184" s="68" t="inlineStr">
        <is>
          <t>!~</t>
        </is>
      </c>
      <c r="C184" s="68" t="inlineStr">
        <is>
          <t>!~</t>
        </is>
      </c>
      <c r="D184" s="66" t="inlineStr">
        <is>
          <t></t>
        </is>
      </c>
      <c r="E184" s="66" t="inlineStr">
        <is>
          <t></t>
        </is>
      </c>
    </row>
    <row r="185" ht="28.5" customHeight="1" s="71">
      <c r="A185" s="68" t="n">
        <v>-35</v>
      </c>
      <c r="B185" s="68" t="inlineStr">
        <is>
          <t>,!~</t>
        </is>
      </c>
      <c r="C185" s="68" t="inlineStr">
        <is>
          <t>,!~</t>
        </is>
      </c>
      <c r="D185" s="66" t="inlineStr">
        <is>
          <t> </t>
        </is>
      </c>
      <c r="E185" s="66" t="inlineStr">
        <is>
          <t> </t>
        </is>
      </c>
    </row>
    <row r="186" ht="28.5" customHeight="1" s="71">
      <c r="A186" s="68" t="n">
        <v>-36</v>
      </c>
      <c r="B186" s="68" t="inlineStr">
        <is>
          <t>~~!</t>
        </is>
      </c>
      <c r="C186" s="68" t="inlineStr">
        <is>
          <t>~~!</t>
        </is>
      </c>
      <c r="D186" s="66" t="inlineStr">
        <is>
          <t></t>
        </is>
      </c>
      <c r="E186" s="66" t="inlineStr">
        <is>
          <t></t>
        </is>
      </c>
    </row>
    <row r="187" ht="28.5" customHeight="1" s="71">
      <c r="A187" s="68" t="n">
        <v>-37</v>
      </c>
      <c r="B187" s="68" t="inlineStr">
        <is>
          <t>,~~!</t>
        </is>
      </c>
      <c r="C187" s="68" t="inlineStr">
        <is>
          <t>,~~!</t>
        </is>
      </c>
      <c r="D187" s="66" t="inlineStr">
        <is>
          <t> </t>
        </is>
      </c>
      <c r="E187" s="66" t="inlineStr">
        <is>
          <t> </t>
        </is>
      </c>
    </row>
    <row r="188" ht="28.5" customHeight="1" s="71">
      <c r="A188" s="68" t="n">
        <v>-38</v>
      </c>
      <c r="B188" s="68" t="inlineStr">
        <is>
          <t>,,~~!</t>
        </is>
      </c>
      <c r="C188" s="68" t="inlineStr">
        <is>
          <t>,,~~!</t>
        </is>
      </c>
      <c r="D188" s="66" t="inlineStr">
        <is>
          <t> </t>
        </is>
      </c>
      <c r="E188" s="66" t="inlineStr">
        <is>
          <t> </t>
        </is>
      </c>
    </row>
    <row r="189" ht="28.5" customHeight="1" s="71">
      <c r="A189" s="68" t="n">
        <v>-39</v>
      </c>
      <c r="B189" s="68" t="inlineStr">
        <is>
          <t>`'\!</t>
        </is>
      </c>
      <c r="C189" s="68" t="inlineStr">
        <is>
          <t>`'\!</t>
        </is>
      </c>
      <c r="D189" s="66" t="inlineStr">
        <is>
          <t>  </t>
        </is>
      </c>
      <c r="E189" s="66" t="inlineStr">
        <is>
          <t>  </t>
        </is>
      </c>
    </row>
    <row r="190" ht="28.5" customHeight="1" s="71">
      <c r="A190" s="68" t="n">
        <v>-40</v>
      </c>
      <c r="B190" s="68" t="inlineStr">
        <is>
          <t>'\!</t>
        </is>
      </c>
      <c r="C190" s="68" t="inlineStr">
        <is>
          <t>'\!</t>
        </is>
      </c>
      <c r="D190" s="66" t="inlineStr">
        <is>
          <t> </t>
        </is>
      </c>
      <c r="E190" s="66" t="inlineStr">
        <is>
          <t> </t>
        </is>
      </c>
    </row>
    <row r="191" ht="28.5" customHeight="1" s="71">
      <c r="A191" s="68" t="n">
        <v>-41</v>
      </c>
      <c r="B191" s="68" t="inlineStr">
        <is>
          <t>)!~</t>
        </is>
      </c>
      <c r="C191" s="68" t="inlineStr">
        <is>
          <t>)!~</t>
        </is>
      </c>
      <c r="D191" s="66" t="inlineStr">
        <is>
          <t></t>
        </is>
      </c>
      <c r="E191" s="66" t="inlineStr">
        <is>
          <t></t>
        </is>
      </c>
    </row>
    <row r="192" ht="28.5" customHeight="1" s="71">
      <c r="A192" s="68" t="n">
        <v>-42</v>
      </c>
      <c r="B192" s="68" t="inlineStr">
        <is>
          <t>``\!</t>
        </is>
      </c>
      <c r="C192" s="68" t="inlineStr">
        <is>
          <t>``\!</t>
        </is>
      </c>
      <c r="D192" s="66" t="inlineStr">
        <is>
          <t> </t>
        </is>
      </c>
      <c r="E192" s="66" t="inlineStr">
        <is>
          <t> </t>
        </is>
      </c>
    </row>
    <row r="193" ht="28.5" customHeight="1" s="71">
      <c r="A193" s="68" t="n">
        <v>-43</v>
      </c>
      <c r="B193" s="68" t="inlineStr">
        <is>
          <t>`\!</t>
        </is>
      </c>
      <c r="C193" s="68" t="inlineStr">
        <is>
          <t>`\!</t>
        </is>
      </c>
      <c r="D193" s="66" t="inlineStr">
        <is>
          <t> </t>
        </is>
      </c>
      <c r="E193" s="66" t="inlineStr">
        <is>
          <t> </t>
        </is>
      </c>
    </row>
    <row r="194" ht="28.5" customHeight="1" s="71">
      <c r="A194" s="68" t="n">
        <v>-44</v>
      </c>
      <c r="B194" s="68" t="inlineStr">
        <is>
          <t>\!</t>
        </is>
      </c>
      <c r="C194" s="68" t="inlineStr">
        <is>
          <t>\!</t>
        </is>
      </c>
      <c r="D194" s="66" t="inlineStr">
        <is>
          <t></t>
        </is>
      </c>
      <c r="E194" s="66" t="inlineStr">
        <is>
          <t></t>
        </is>
      </c>
    </row>
    <row r="195" ht="28.5" customHeight="1" s="71">
      <c r="A195" s="68" t="n">
        <v>-45</v>
      </c>
      <c r="B195" s="68" t="inlineStr">
        <is>
          <t>,\!</t>
        </is>
      </c>
      <c r="C195" s="68" t="inlineStr">
        <is>
          <t>,\!</t>
        </is>
      </c>
      <c r="D195" s="66" t="inlineStr">
        <is>
          <t> </t>
        </is>
      </c>
      <c r="E195" s="66" t="inlineStr">
        <is>
          <t> </t>
        </is>
      </c>
    </row>
    <row r="196" ht="28.5" customHeight="1" s="71">
      <c r="A196" s="68" t="n">
        <v>-46</v>
      </c>
      <c r="B196" s="68" t="inlineStr">
        <is>
          <t>,,\!</t>
        </is>
      </c>
      <c r="C196" s="68" t="inlineStr">
        <is>
          <t>,,\!</t>
        </is>
      </c>
      <c r="D196" s="66" t="inlineStr">
        <is>
          <t> </t>
        </is>
      </c>
      <c r="E196" s="66" t="inlineStr">
        <is>
          <t> </t>
        </is>
      </c>
    </row>
    <row r="197" ht="28.5" customHeight="1" s="71">
      <c r="A197" s="68" t="n">
        <v>-47</v>
      </c>
      <c r="B197" s="68" t="inlineStr">
        <is>
          <t>')\!</t>
        </is>
      </c>
      <c r="C197" s="68" t="inlineStr">
        <is>
          <t>')\!</t>
        </is>
      </c>
      <c r="D197" s="66" t="inlineStr">
        <is>
          <t> </t>
        </is>
      </c>
      <c r="E197" s="66" t="inlineStr">
        <is>
          <t> </t>
        </is>
      </c>
    </row>
    <row r="198" ht="28.5" customHeight="1" s="71">
      <c r="A198" s="68" t="n">
        <v>-48</v>
      </c>
      <c r="B198" s="68" t="inlineStr">
        <is>
          <t>.\!</t>
        </is>
      </c>
      <c r="C198" s="68" t="inlineStr">
        <is>
          <t>.\!</t>
        </is>
      </c>
      <c r="D198" s="66" t="inlineStr">
        <is>
          <t> </t>
        </is>
      </c>
      <c r="E198" s="66" t="inlineStr">
        <is>
          <t> </t>
        </is>
      </c>
    </row>
    <row r="199" ht="28.5" customHeight="1" s="71">
      <c r="A199" s="68" t="n">
        <v>-49</v>
      </c>
      <c r="B199" s="68" t="inlineStr">
        <is>
          <t>,.\!</t>
        </is>
      </c>
      <c r="C199" s="68" t="inlineStr">
        <is>
          <t>,.\!</t>
        </is>
      </c>
      <c r="D199" s="66" t="inlineStr">
        <is>
          <t>  </t>
        </is>
      </c>
      <c r="E199" s="66" t="inlineStr">
        <is>
          <t>  </t>
        </is>
      </c>
    </row>
    <row r="200" ht="28.5" customHeight="1" s="71">
      <c r="A200" s="68" t="n">
        <v>-50</v>
      </c>
      <c r="B200" s="68" t="inlineStr">
        <is>
          <t>``)\!</t>
        </is>
      </c>
      <c r="C200" s="68" t="inlineStr">
        <is>
          <t>``)\!</t>
        </is>
      </c>
      <c r="D200" s="66" t="inlineStr">
        <is>
          <t> </t>
        </is>
      </c>
      <c r="E200" s="66" t="inlineStr">
        <is>
          <t> </t>
        </is>
      </c>
    </row>
    <row r="201" ht="28.5" customHeight="1" s="71">
      <c r="A201" s="68" t="n">
        <v>-51</v>
      </c>
      <c r="B201" s="68" t="inlineStr">
        <is>
          <t>`)\!</t>
        </is>
      </c>
      <c r="C201" s="68" t="inlineStr">
        <is>
          <t>`)\!</t>
        </is>
      </c>
      <c r="D201" s="66" t="inlineStr">
        <is>
          <t> </t>
        </is>
      </c>
      <c r="E201" s="66" t="inlineStr">
        <is>
          <t> </t>
        </is>
      </c>
    </row>
    <row r="202" ht="28.5" customHeight="1" s="71">
      <c r="A202" s="68" t="n">
        <v>-52</v>
      </c>
      <c r="B202" s="68" t="inlineStr">
        <is>
          <t>)\!</t>
        </is>
      </c>
      <c r="C202" s="68" t="inlineStr">
        <is>
          <t>)\!</t>
        </is>
      </c>
      <c r="D202" s="66" t="inlineStr">
        <is>
          <t></t>
        </is>
      </c>
      <c r="E202" s="66" t="inlineStr">
        <is>
          <t></t>
        </is>
      </c>
    </row>
    <row r="203" ht="28.5" customHeight="1" s="71">
      <c r="A203" s="68" t="n">
        <v>-53</v>
      </c>
      <c r="B203" s="68" t="inlineStr">
        <is>
          <t>`'!)</t>
        </is>
      </c>
      <c r="C203" s="68" t="inlineStr">
        <is>
          <t>`'!)</t>
        </is>
      </c>
      <c r="D203" s="66" t="inlineStr">
        <is>
          <t>  </t>
        </is>
      </c>
      <c r="E203" s="66" t="inlineStr">
        <is>
          <t>  </t>
        </is>
      </c>
    </row>
    <row r="204" ht="28.5" customHeight="1" s="71">
      <c r="A204" s="68" t="n">
        <v>-54</v>
      </c>
      <c r="B204" s="68" t="inlineStr">
        <is>
          <t>'!)</t>
        </is>
      </c>
      <c r="C204" s="68" t="inlineStr">
        <is>
          <t>'!)</t>
        </is>
      </c>
      <c r="D204" s="66" t="inlineStr">
        <is>
          <t> </t>
        </is>
      </c>
      <c r="E204" s="66" t="inlineStr">
        <is>
          <t> </t>
        </is>
      </c>
    </row>
    <row r="205" ht="28.5" customHeight="1" s="71">
      <c r="A205" s="68" t="n">
        <v>-55</v>
      </c>
      <c r="B205" s="68" t="inlineStr">
        <is>
          <t>,'!)</t>
        </is>
      </c>
      <c r="C205" s="68" t="inlineStr">
        <is>
          <t>,'!)</t>
        </is>
      </c>
      <c r="D205" s="66" t="inlineStr">
        <is>
          <t>  </t>
        </is>
      </c>
      <c r="E205" s="66" t="inlineStr">
        <is>
          <t>  </t>
        </is>
      </c>
    </row>
    <row r="206" ht="28.5" customHeight="1" s="71">
      <c r="A206" s="68" t="n">
        <v>-56</v>
      </c>
      <c r="B206" s="68" t="inlineStr">
        <is>
          <t>``!)</t>
        </is>
      </c>
      <c r="C206" s="68" t="inlineStr">
        <is>
          <t>``!)</t>
        </is>
      </c>
      <c r="D206" s="66" t="inlineStr">
        <is>
          <t> </t>
        </is>
      </c>
      <c r="E206" s="66" t="inlineStr">
        <is>
          <t> </t>
        </is>
      </c>
    </row>
    <row r="207" ht="28.5" customHeight="1" s="71">
      <c r="A207" s="68" t="n">
        <v>-57</v>
      </c>
      <c r="B207" s="68" t="inlineStr">
        <is>
          <t>`!)</t>
        </is>
      </c>
      <c r="C207" s="68" t="inlineStr">
        <is>
          <t>`!)</t>
        </is>
      </c>
      <c r="D207" s="66" t="inlineStr">
        <is>
          <t> </t>
        </is>
      </c>
      <c r="E207" s="66" t="inlineStr">
        <is>
          <t> </t>
        </is>
      </c>
    </row>
    <row r="208" ht="28.5" customHeight="1" s="71">
      <c r="A208" s="68" t="n">
        <v>-58</v>
      </c>
      <c r="B208" s="68" t="inlineStr">
        <is>
          <t>!)</t>
        </is>
      </c>
      <c r="C208" s="68" t="inlineStr">
        <is>
          <t>!)</t>
        </is>
      </c>
      <c r="D208" s="66" t="inlineStr">
        <is>
          <t></t>
        </is>
      </c>
      <c r="E208" s="66" t="inlineStr">
        <is>
          <t></t>
        </is>
      </c>
    </row>
    <row r="209" ht="28.5" customHeight="1" s="71">
      <c r="A209" s="68" t="n">
        <v>-59</v>
      </c>
      <c r="B209" s="68" t="inlineStr">
        <is>
          <t>,!)</t>
        </is>
      </c>
      <c r="C209" s="68" t="inlineStr">
        <is>
          <t>,!)</t>
        </is>
      </c>
      <c r="D209" s="66" t="inlineStr">
        <is>
          <t> </t>
        </is>
      </c>
      <c r="E209" s="66" t="inlineStr">
        <is>
          <t> </t>
        </is>
      </c>
    </row>
    <row r="210" ht="28.5" customHeight="1" s="71">
      <c r="A210" s="68" t="n">
        <v>-60</v>
      </c>
      <c r="B210" s="68" t="inlineStr">
        <is>
          <t>,,!)</t>
        </is>
      </c>
      <c r="C210" s="68" t="inlineStr">
        <is>
          <t>,,!)</t>
        </is>
      </c>
      <c r="D210" s="66" t="inlineStr">
        <is>
          <t> </t>
        </is>
      </c>
      <c r="E210" s="66" t="inlineStr">
        <is>
          <t> </t>
        </is>
      </c>
    </row>
    <row r="211" ht="28.5" customHeight="1" s="71">
      <c r="A211" s="68" t="n">
        <v>-61</v>
      </c>
      <c r="B211" s="68" t="inlineStr">
        <is>
          <t>`.!)</t>
        </is>
      </c>
      <c r="C211" s="68" t="inlineStr">
        <is>
          <t>`.!)</t>
        </is>
      </c>
      <c r="D211" s="66" t="inlineStr">
        <is>
          <t>  </t>
        </is>
      </c>
      <c r="E211" s="66" t="inlineStr">
        <is>
          <t>  </t>
        </is>
      </c>
    </row>
    <row r="212" ht="28.5" customHeight="1" s="71">
      <c r="A212" s="68" t="n">
        <v>-62</v>
      </c>
      <c r="B212" s="68" t="inlineStr">
        <is>
          <t>.!)</t>
        </is>
      </c>
      <c r="C212" s="68" t="inlineStr">
        <is>
          <t>.!)</t>
        </is>
      </c>
      <c r="D212" s="66" t="inlineStr">
        <is>
          <t> </t>
        </is>
      </c>
      <c r="E212" s="66" t="inlineStr">
        <is>
          <t> </t>
        </is>
      </c>
    </row>
    <row r="213" ht="28.5" customHeight="1" s="71">
      <c r="A213" s="68" t="n">
        <v>-63</v>
      </c>
      <c r="B213" s="68" t="inlineStr">
        <is>
          <t>,.!)</t>
        </is>
      </c>
      <c r="C213" s="68" t="inlineStr">
        <is>
          <t>,.!)</t>
        </is>
      </c>
      <c r="D213" s="66" t="inlineStr">
        <is>
          <t>  </t>
        </is>
      </c>
      <c r="E213" s="66" t="inlineStr">
        <is>
          <t>  </t>
        </is>
      </c>
    </row>
    <row r="214" ht="28.5" customHeight="1" s="71">
      <c r="A214" s="68" t="n">
        <v>-64</v>
      </c>
      <c r="B214" s="68" t="inlineStr">
        <is>
          <t>`)!)</t>
        </is>
      </c>
      <c r="C214" s="68" t="inlineStr">
        <is>
          <t>`)!)</t>
        </is>
      </c>
      <c r="D214" s="66" t="inlineStr">
        <is>
          <t> </t>
        </is>
      </c>
      <c r="E214" s="66" t="inlineStr">
        <is>
          <t> </t>
        </is>
      </c>
    </row>
    <row r="215" ht="28.5" customHeight="1" s="71">
      <c r="A215" s="68" t="n">
        <v>-65</v>
      </c>
      <c r="B215" s="68" t="inlineStr">
        <is>
          <t>)!)</t>
        </is>
      </c>
      <c r="C215" s="68" t="inlineStr">
        <is>
          <t>)!)</t>
        </is>
      </c>
      <c r="D215" s="66" t="inlineStr">
        <is>
          <t></t>
        </is>
      </c>
      <c r="E215" s="66" t="inlineStr">
        <is>
          <t></t>
        </is>
      </c>
    </row>
    <row r="216" ht="28.5" customHeight="1" s="71">
      <c r="A216" s="68" t="n">
        <v>-66</v>
      </c>
      <c r="B216" s="68" t="inlineStr">
        <is>
          <t>'(!</t>
        </is>
      </c>
      <c r="C216" s="68" t="inlineStr">
        <is>
          <t>'(!</t>
        </is>
      </c>
      <c r="D216" s="66" t="inlineStr">
        <is>
          <t> </t>
        </is>
      </c>
      <c r="E216" s="66" t="inlineStr">
        <is>
          <t> </t>
        </is>
      </c>
    </row>
    <row r="217" ht="28.5" customHeight="1" s="71">
      <c r="A217" s="68" t="n">
        <v>-67</v>
      </c>
      <c r="B217" s="68" t="inlineStr">
        <is>
          <t>!/</t>
        </is>
      </c>
      <c r="C217" s="68" t="inlineStr">
        <is>
          <t>!/</t>
        </is>
      </c>
      <c r="D217" s="66" t="inlineStr">
        <is>
          <t></t>
        </is>
      </c>
      <c r="E217" s="66" t="inlineStr">
        <is>
          <t></t>
        </is>
      </c>
    </row>
    <row r="218" ht="28.5" customHeight="1" s="71">
      <c r="A218" s="68" t="n">
        <v>-68</v>
      </c>
      <c r="B218" s="68" t="inlineStr">
        <is>
          <t>,!/</t>
        </is>
      </c>
      <c r="C218" s="68" t="inlineStr">
        <is>
          <t>,!/</t>
        </is>
      </c>
      <c r="D218" s="66" t="inlineStr">
        <is>
          <t> </t>
        </is>
      </c>
      <c r="E218" s="66" t="inlineStr">
        <is>
          <t> </t>
        </is>
      </c>
    </row>
    <row r="219" ht="28.5" customHeight="1" s="71">
      <c r="A219" s="68" t="n">
        <v>-69</v>
      </c>
      <c r="B219" s="68" t="inlineStr">
        <is>
          <t>`(!</t>
        </is>
      </c>
      <c r="C219" s="68" t="inlineStr">
        <is>
          <t>`(!</t>
        </is>
      </c>
      <c r="D219" s="66" t="inlineStr">
        <is>
          <t> </t>
        </is>
      </c>
      <c r="E219" s="66" t="inlineStr">
        <is>
          <t> </t>
        </is>
      </c>
    </row>
    <row r="220" ht="28.5" customHeight="1" s="71">
      <c r="A220" s="68" t="n">
        <v>-70</v>
      </c>
      <c r="B220" s="68" t="inlineStr">
        <is>
          <t>(!</t>
        </is>
      </c>
      <c r="C220" s="68" t="inlineStr">
        <is>
          <t>(!</t>
        </is>
      </c>
      <c r="D220" s="66" t="inlineStr">
        <is>
          <t></t>
        </is>
      </c>
      <c r="E220" s="66" t="inlineStr">
        <is>
          <t></t>
        </is>
      </c>
    </row>
    <row r="221" ht="28.5" customHeight="1" s="71">
      <c r="A221" s="68" t="n">
        <v>-71</v>
      </c>
      <c r="B221" s="68" t="inlineStr">
        <is>
          <t>,(!</t>
        </is>
      </c>
      <c r="C221" s="68" t="inlineStr">
        <is>
          <t>,(!</t>
        </is>
      </c>
      <c r="D221" s="66" t="inlineStr">
        <is>
          <t> </t>
        </is>
      </c>
      <c r="E221" s="66" t="inlineStr">
        <is>
          <t> </t>
        </is>
      </c>
    </row>
    <row r="222" ht="28.5" customHeight="1" s="71">
      <c r="A222" s="68" t="n">
        <v>-72</v>
      </c>
      <c r="B222" s="68" t="inlineStr">
        <is>
          <t>,,(!</t>
        </is>
      </c>
      <c r="C222" s="68" t="inlineStr">
        <is>
          <t>,,(!</t>
        </is>
      </c>
      <c r="D222" s="66" t="inlineStr">
        <is>
          <t> </t>
        </is>
      </c>
      <c r="E222" s="66" t="inlineStr">
        <is>
          <t> </t>
        </is>
      </c>
    </row>
    <row r="223" ht="28.5" customHeight="1" s="71">
      <c r="A223" s="68" t="n">
        <v>-73</v>
      </c>
      <c r="B223" s="68" t="inlineStr">
        <is>
          <t>`.(!</t>
        </is>
      </c>
      <c r="C223" s="68" t="inlineStr">
        <is>
          <t>`.(!</t>
        </is>
      </c>
      <c r="D223" s="66" t="inlineStr">
        <is>
          <t>  </t>
        </is>
      </c>
      <c r="E223" s="66" t="inlineStr">
        <is>
          <t>  </t>
        </is>
      </c>
    </row>
    <row r="224" ht="28.5" customHeight="1" s="71">
      <c r="A224" s="68" t="n">
        <v>-74</v>
      </c>
      <c r="B224" s="68" t="inlineStr">
        <is>
          <t>.(!</t>
        </is>
      </c>
      <c r="C224" s="68" t="inlineStr">
        <is>
          <t>.(!</t>
        </is>
      </c>
      <c r="D224" s="66" t="inlineStr">
        <is>
          <t> </t>
        </is>
      </c>
      <c r="E224" s="66" t="inlineStr">
        <is>
          <t> </t>
        </is>
      </c>
    </row>
    <row r="225" ht="28.5" customHeight="1" s="71">
      <c r="A225" s="68" t="n">
        <v>-75</v>
      </c>
      <c r="B225" s="68" t="inlineStr">
        <is>
          <t>`~!)</t>
        </is>
      </c>
      <c r="C225" s="68" t="inlineStr">
        <is>
          <t>`~!)</t>
        </is>
      </c>
      <c r="D225" s="66" t="inlineStr">
        <is>
          <t> </t>
        </is>
      </c>
      <c r="E225" s="66" t="inlineStr">
        <is>
          <t> </t>
        </is>
      </c>
    </row>
    <row r="226" ht="28.5" customHeight="1" s="71">
      <c r="A226" s="68" t="n">
        <v>-76</v>
      </c>
      <c r="B226" s="68" t="inlineStr">
        <is>
          <t>~!)</t>
        </is>
      </c>
      <c r="C226" s="68" t="inlineStr">
        <is>
          <t>~!)</t>
        </is>
      </c>
      <c r="D226" s="66" t="inlineStr">
        <is>
          <t></t>
        </is>
      </c>
      <c r="E226" s="66" t="inlineStr">
        <is>
          <t></t>
        </is>
      </c>
    </row>
    <row r="227" ht="28.5" customHeight="1" s="71">
      <c r="A227" s="68" t="n">
        <v>-77</v>
      </c>
      <c r="B227" s="68" t="inlineStr">
        <is>
          <t>,~!)</t>
        </is>
      </c>
      <c r="C227" s="68" t="inlineStr">
        <is>
          <t>,~!)</t>
        </is>
      </c>
      <c r="D227" s="66" t="inlineStr">
        <is>
          <t> </t>
        </is>
      </c>
      <c r="E227" s="66" t="inlineStr">
        <is>
          <t> </t>
        </is>
      </c>
    </row>
    <row r="228" ht="28.5" customHeight="1" s="71">
      <c r="A228" s="68" t="n">
        <v>-78</v>
      </c>
      <c r="B228" s="68" t="inlineStr">
        <is>
          <t>`'(!(</t>
        </is>
      </c>
      <c r="C228" s="68" t="inlineStr">
        <is>
          <t>`'(!(</t>
        </is>
      </c>
      <c r="D228" s="66" t="inlineStr">
        <is>
          <t>  </t>
        </is>
      </c>
      <c r="E228" s="66" t="inlineStr">
        <is>
          <t>  </t>
        </is>
      </c>
    </row>
    <row r="229" ht="28.5" customHeight="1" s="71">
      <c r="A229" s="68" t="n">
        <v>-79</v>
      </c>
      <c r="B229" s="68" t="inlineStr">
        <is>
          <t>'(!(</t>
        </is>
      </c>
      <c r="C229" s="68" t="inlineStr">
        <is>
          <t>'(!(</t>
        </is>
      </c>
      <c r="D229" s="66" t="inlineStr">
        <is>
          <t> </t>
        </is>
      </c>
      <c r="E229" s="66" t="inlineStr">
        <is>
          <t> </t>
        </is>
      </c>
    </row>
    <row r="230" ht="28.5" customHeight="1" s="71">
      <c r="A230" s="68" t="n">
        <v>-80</v>
      </c>
      <c r="B230" s="68" t="inlineStr">
        <is>
          <t>.~!)</t>
        </is>
      </c>
      <c r="C230" s="68" t="inlineStr">
        <is>
          <t>.~!)</t>
        </is>
      </c>
      <c r="D230" s="66" t="inlineStr">
        <is>
          <t> </t>
        </is>
      </c>
      <c r="E230" s="66" t="inlineStr">
        <is>
          <t> </t>
        </is>
      </c>
    </row>
    <row r="231" ht="28.5" customHeight="1" s="71">
      <c r="A231" s="68" t="n">
        <v>-81</v>
      </c>
      <c r="B231" s="68" t="inlineStr">
        <is>
          <t>\!~</t>
        </is>
      </c>
      <c r="C231" s="68" t="inlineStr">
        <is>
          <t>\!~</t>
        </is>
      </c>
      <c r="D231" s="66" t="inlineStr">
        <is>
          <t></t>
        </is>
      </c>
      <c r="E231" s="66" t="inlineStr">
        <is>
          <t></t>
        </is>
      </c>
    </row>
    <row r="232" ht="28.5" customHeight="1" s="71">
      <c r="A232" s="68" t="n">
        <v>-82</v>
      </c>
      <c r="B232" s="68" t="inlineStr">
        <is>
          <t>``(!(</t>
        </is>
      </c>
      <c r="C232" s="68" t="inlineStr">
        <is>
          <t>``(!(</t>
        </is>
      </c>
      <c r="D232" s="66" t="inlineStr">
        <is>
          <t> </t>
        </is>
      </c>
      <c r="E232" s="66" t="inlineStr">
        <is>
          <t> </t>
        </is>
      </c>
    </row>
    <row r="233" ht="28.5" customHeight="1" s="71">
      <c r="A233" s="68" t="n">
        <v>-83</v>
      </c>
      <c r="B233" s="68" t="inlineStr">
        <is>
          <t>`(!(</t>
        </is>
      </c>
      <c r="C233" s="68" t="inlineStr">
        <is>
          <t>`(!(</t>
        </is>
      </c>
      <c r="D233" s="66" t="inlineStr">
        <is>
          <t> </t>
        </is>
      </c>
      <c r="E233" s="66" t="inlineStr">
        <is>
          <t> </t>
        </is>
      </c>
    </row>
    <row r="234" ht="28.5" customHeight="1" s="71">
      <c r="A234" s="68" t="n">
        <v>-84</v>
      </c>
      <c r="B234" s="68" t="inlineStr">
        <is>
          <t>(!(</t>
        </is>
      </c>
      <c r="C234" s="68" t="inlineStr">
        <is>
          <t>(!(</t>
        </is>
      </c>
      <c r="D234" s="66" t="inlineStr">
        <is>
          <t></t>
        </is>
      </c>
      <c r="E234" s="66" t="inlineStr">
        <is>
          <t></t>
        </is>
      </c>
    </row>
    <row r="235" ht="28.5" customHeight="1" s="71">
      <c r="A235" s="68" t="n">
        <v>-85</v>
      </c>
      <c r="B235" s="68" t="inlineStr">
        <is>
          <t>,(!(</t>
        </is>
      </c>
      <c r="C235" s="68" t="inlineStr">
        <is>
          <t>,(!(</t>
        </is>
      </c>
      <c r="D235" s="66" t="inlineStr">
        <is>
          <t> </t>
        </is>
      </c>
      <c r="E235" s="66" t="inlineStr">
        <is>
          <t> </t>
        </is>
      </c>
    </row>
    <row r="236" ht="28.5" customHeight="1" s="71">
      <c r="A236" s="68" t="n">
        <v>-86</v>
      </c>
      <c r="B236" s="68" t="inlineStr">
        <is>
          <t>~!/</t>
        </is>
      </c>
      <c r="C236" s="68" t="inlineStr">
        <is>
          <t>~!/</t>
        </is>
      </c>
      <c r="D236" s="66" t="inlineStr">
        <is>
          <t></t>
        </is>
      </c>
      <c r="E236" s="66" t="inlineStr">
        <is>
          <t></t>
        </is>
      </c>
    </row>
    <row r="237" ht="28.5" customHeight="1" s="71">
      <c r="A237" s="68" t="n">
        <v>-87</v>
      </c>
      <c r="B237" s="68" t="inlineStr">
        <is>
          <t>`'\\!</t>
        </is>
      </c>
      <c r="C237" s="68" t="inlineStr">
        <is>
          <t>`'\\!</t>
        </is>
      </c>
      <c r="D237" s="66" t="inlineStr">
        <is>
          <t>  </t>
        </is>
      </c>
      <c r="E237" s="66" t="inlineStr">
        <is>
          <t>  </t>
        </is>
      </c>
    </row>
    <row r="238" ht="28.5" customHeight="1" s="71">
      <c r="A238" s="68" t="n">
        <v>-88</v>
      </c>
      <c r="B238" s="68" t="inlineStr">
        <is>
          <t>'\\!</t>
        </is>
      </c>
      <c r="C238" s="68" t="inlineStr">
        <is>
          <t>'\\!</t>
        </is>
      </c>
      <c r="D238" s="66" t="inlineStr">
        <is>
          <t> </t>
        </is>
      </c>
      <c r="E238" s="66" t="inlineStr">
        <is>
          <t> </t>
        </is>
      </c>
    </row>
    <row r="239" ht="28.5" customHeight="1" s="71">
      <c r="A239" s="68" t="n">
        <v>-89</v>
      </c>
      <c r="B239" s="68" t="inlineStr">
        <is>
          <t>,'\\!</t>
        </is>
      </c>
      <c r="C239" s="68" t="inlineStr">
        <is>
          <t>,'\\!</t>
        </is>
      </c>
      <c r="D239" s="66" t="inlineStr">
        <is>
          <t>  </t>
        </is>
      </c>
      <c r="E239" s="66" t="inlineStr">
        <is>
          <t>  </t>
        </is>
      </c>
    </row>
    <row r="240" ht="28.5" customHeight="1" s="71">
      <c r="A240" s="68" t="n">
        <v>-90</v>
      </c>
      <c r="B240" s="68" t="inlineStr">
        <is>
          <t>``\\!</t>
        </is>
      </c>
      <c r="C240" s="68" t="inlineStr">
        <is>
          <t>``\\!</t>
        </is>
      </c>
      <c r="D240" s="69" t="inlineStr">
        <is>
          <t> </t>
        </is>
      </c>
      <c r="E240" s="66" t="inlineStr">
        <is>
          <t> </t>
        </is>
      </c>
    </row>
    <row r="241" ht="28.5" customHeight="1" s="71">
      <c r="A241" s="68" t="n">
        <v>-91</v>
      </c>
      <c r="B241" s="68" t="inlineStr">
        <is>
          <t>`\\!</t>
        </is>
      </c>
      <c r="C241" s="68" t="inlineStr">
        <is>
          <t>`\\!</t>
        </is>
      </c>
      <c r="D241" s="66" t="inlineStr">
        <is>
          <t> </t>
        </is>
      </c>
      <c r="E241" s="66" t="inlineStr">
        <is>
          <t> </t>
        </is>
      </c>
    </row>
    <row r="242" ht="28.5" customHeight="1" s="71">
      <c r="A242" s="68" t="n">
        <v>-92</v>
      </c>
      <c r="B242" s="68" t="inlineStr">
        <is>
          <t>\\!</t>
        </is>
      </c>
      <c r="C242" s="68" t="inlineStr">
        <is>
          <t>\\!</t>
        </is>
      </c>
      <c r="D242" s="66" t="inlineStr">
        <is>
          <t></t>
        </is>
      </c>
      <c r="E242" s="66" t="inlineStr">
        <is>
          <t></t>
        </is>
      </c>
    </row>
    <row r="243" ht="28.5" customHeight="1" s="71">
      <c r="A243" s="68" t="n">
        <v>-93</v>
      </c>
      <c r="B243" s="68" t="inlineStr">
        <is>
          <t>,\\!</t>
        </is>
      </c>
      <c r="C243" s="68" t="inlineStr">
        <is>
          <t>,\\!</t>
        </is>
      </c>
      <c r="D243" s="66" t="inlineStr">
        <is>
          <t> </t>
        </is>
      </c>
      <c r="E243" s="66" t="inlineStr">
        <is>
          <t> </t>
        </is>
      </c>
    </row>
    <row r="244" ht="28.5" customHeight="1" s="71">
      <c r="A244" s="68" t="n">
        <v>-94</v>
      </c>
      <c r="B244" s="68" t="inlineStr">
        <is>
          <t>,,\\!</t>
        </is>
      </c>
      <c r="C244" s="68" t="inlineStr">
        <is>
          <t>,,\\!</t>
        </is>
      </c>
      <c r="D244" s="66" t="inlineStr">
        <is>
          <t> </t>
        </is>
      </c>
      <c r="E244" s="66" t="inlineStr">
        <is>
          <t> </t>
        </is>
      </c>
    </row>
    <row r="245" ht="28.5" customHeight="1" s="71">
      <c r="A245" s="68" t="n">
        <v>-95</v>
      </c>
      <c r="B245" s="68" t="inlineStr">
        <is>
          <t>`.\\!</t>
        </is>
      </c>
      <c r="C245" s="68" t="inlineStr">
        <is>
          <t>`.\\!</t>
        </is>
      </c>
      <c r="D245" s="66" t="inlineStr">
        <is>
          <t>  </t>
        </is>
      </c>
      <c r="E245" s="66" t="inlineStr">
        <is>
          <t>  </t>
        </is>
      </c>
    </row>
    <row r="246" ht="28.5" customHeight="1" s="71">
      <c r="A246" s="68" t="n">
        <v>-96</v>
      </c>
      <c r="B246" s="68" t="inlineStr">
        <is>
          <t>.\\!</t>
        </is>
      </c>
      <c r="C246" s="68" t="inlineStr">
        <is>
          <t>.\\!</t>
        </is>
      </c>
      <c r="D246" s="66" t="inlineStr">
        <is>
          <t> </t>
        </is>
      </c>
      <c r="E246" s="66" t="inlineStr">
        <is>
          <t> </t>
        </is>
      </c>
    </row>
    <row r="247" ht="28.5" customHeight="1" s="71">
      <c r="A247" s="68" t="n">
        <v>-97</v>
      </c>
      <c r="B247" s="68" t="inlineStr">
        <is>
          <t>``)\\!</t>
        </is>
      </c>
      <c r="C247" s="68" t="inlineStr">
        <is>
          <t>``)\\!</t>
        </is>
      </c>
      <c r="D247" s="69" t="inlineStr">
        <is>
          <t> </t>
        </is>
      </c>
      <c r="E247" s="69" t="inlineStr">
        <is>
          <t> </t>
        </is>
      </c>
    </row>
    <row r="248" ht="28.5" customHeight="1" s="71">
      <c r="A248" s="68" t="n">
        <v>-98</v>
      </c>
      <c r="B248" s="68" t="inlineStr">
        <is>
          <t>`)\\!</t>
        </is>
      </c>
      <c r="C248" s="68" t="inlineStr">
        <is>
          <t>`)\\!</t>
        </is>
      </c>
      <c r="D248" s="66" t="inlineStr">
        <is>
          <t> </t>
        </is>
      </c>
      <c r="E248" s="66" t="inlineStr">
        <is>
          <t> </t>
        </is>
      </c>
    </row>
    <row r="249" ht="28.5" customHeight="1" s="71">
      <c r="A249" s="68" t="n">
        <v>-99</v>
      </c>
      <c r="B249" s="68" t="inlineStr">
        <is>
          <t>)\\!</t>
        </is>
      </c>
      <c r="C249" s="68" t="inlineStr">
        <is>
          <t>)\\!</t>
        </is>
      </c>
      <c r="D249" s="66" t="inlineStr">
        <is>
          <t></t>
        </is>
      </c>
      <c r="E249" s="66" t="inlineStr">
        <is>
          <t></t>
        </is>
      </c>
    </row>
    <row r="250" ht="28.5" customHeight="1" s="71">
      <c r="A250" s="68" t="n">
        <v>-100</v>
      </c>
      <c r="B250" s="68" t="inlineStr">
        <is>
          <t>,)\\!</t>
        </is>
      </c>
      <c r="C250" s="68" t="inlineStr">
        <is>
          <t>,)\\!</t>
        </is>
      </c>
      <c r="D250" s="66" t="inlineStr">
        <is>
          <t> </t>
        </is>
      </c>
      <c r="E250" s="66" t="inlineStr">
        <is>
          <t> </t>
        </is>
      </c>
    </row>
    <row r="251" ht="28.5" customHeight="1" s="71">
      <c r="A251" s="68" t="n">
        <v>-101</v>
      </c>
      <c r="B251" s="68" t="inlineStr">
        <is>
          <t>,,)\\!</t>
        </is>
      </c>
      <c r="C251" s="68" t="inlineStr">
        <is>
          <t>,,)\\!</t>
        </is>
      </c>
      <c r="D251" s="66" t="inlineStr">
        <is>
          <t> </t>
        </is>
      </c>
      <c r="E251" s="66" t="inlineStr">
        <is>
          <t> </t>
        </is>
      </c>
    </row>
    <row r="252" ht="28.5" customHeight="1" s="71">
      <c r="A252" s="68" t="n">
        <v>-102</v>
      </c>
      <c r="B252" s="68" t="inlineStr">
        <is>
          <t>``\!)</t>
        </is>
      </c>
      <c r="C252" s="68" t="inlineStr">
        <is>
          <t>``\!)</t>
        </is>
      </c>
      <c r="D252" s="66" t="inlineStr">
        <is>
          <t> </t>
        </is>
      </c>
      <c r="E252" s="66" t="inlineStr">
        <is>
          <t> </t>
        </is>
      </c>
    </row>
    <row r="253" ht="28.5" customHeight="1" s="71">
      <c r="A253" s="68" t="n">
        <v>-103</v>
      </c>
      <c r="B253" s="68" t="inlineStr">
        <is>
          <t>`\!)</t>
        </is>
      </c>
      <c r="C253" s="68" t="inlineStr">
        <is>
          <t>`\!)</t>
        </is>
      </c>
      <c r="D253" s="66" t="inlineStr">
        <is>
          <t> </t>
        </is>
      </c>
      <c r="E253" s="66" t="inlineStr">
        <is>
          <t> </t>
        </is>
      </c>
    </row>
    <row r="254" ht="28.5" customHeight="1" s="71">
      <c r="A254" s="68" t="n">
        <v>-104</v>
      </c>
      <c r="B254" s="68" t="inlineStr">
        <is>
          <t>\!)</t>
        </is>
      </c>
      <c r="C254" s="68" t="inlineStr">
        <is>
          <t>\!)</t>
        </is>
      </c>
      <c r="D254" s="66" t="inlineStr">
        <is>
          <t></t>
        </is>
      </c>
      <c r="E254" s="66" t="inlineStr">
        <is>
          <t></t>
        </is>
      </c>
    </row>
    <row r="255" ht="28.5" customHeight="1" s="71">
      <c r="A255" s="68" t="n">
        <v>-105</v>
      </c>
      <c r="B255" s="68" t="inlineStr">
        <is>
          <t>,\!)</t>
        </is>
      </c>
      <c r="C255" s="68" t="inlineStr">
        <is>
          <t>,\!)</t>
        </is>
      </c>
      <c r="D255" s="66" t="inlineStr">
        <is>
          <t> </t>
        </is>
      </c>
      <c r="E255" s="66" t="inlineStr">
        <is>
          <t> </t>
        </is>
      </c>
    </row>
    <row r="256" ht="28.5" customHeight="1" s="71">
      <c r="A256" s="68" t="n">
        <v>-106</v>
      </c>
      <c r="B256" s="68" t="inlineStr">
        <is>
          <t>(!~</t>
        </is>
      </c>
      <c r="C256" s="68" t="inlineStr">
        <is>
          <t>(!~</t>
        </is>
      </c>
      <c r="D256" s="66" t="inlineStr">
        <is>
          <t></t>
        </is>
      </c>
      <c r="E256" s="66" t="inlineStr">
        <is>
          <t></t>
        </is>
      </c>
    </row>
    <row r="257" ht="28.5" customHeight="1" s="71">
      <c r="A257" s="68" t="n">
        <v>-107</v>
      </c>
      <c r="B257" s="68" t="inlineStr">
        <is>
          <t>`.\!)</t>
        </is>
      </c>
      <c r="C257" s="68" t="inlineStr">
        <is>
          <t>`.\!)</t>
        </is>
      </c>
      <c r="D257" s="66" t="inlineStr">
        <is>
          <t>  </t>
        </is>
      </c>
      <c r="E257" s="66" t="inlineStr">
        <is>
          <t>  </t>
        </is>
      </c>
    </row>
    <row r="258" ht="28.5" customHeight="1" s="71">
      <c r="A258" s="68" t="n">
        <v>-108</v>
      </c>
      <c r="B258" s="68" t="inlineStr">
        <is>
          <t>.\!)</t>
        </is>
      </c>
      <c r="C258" s="68" t="inlineStr">
        <is>
          <t>.\!)</t>
        </is>
      </c>
      <c r="D258" s="66" t="inlineStr">
        <is>
          <t> </t>
        </is>
      </c>
      <c r="E258" s="66" t="inlineStr">
        <is>
          <t> </t>
        </is>
      </c>
    </row>
    <row r="259" ht="28.5" customHeight="1" s="71">
      <c r="A259" s="68" t="n">
        <v>-109</v>
      </c>
      <c r="B259" s="68" t="inlineStr">
        <is>
          <t>,.\!)</t>
        </is>
      </c>
      <c r="C259" s="68" t="inlineStr">
        <is>
          <t>,.\!)</t>
        </is>
      </c>
      <c r="D259" s="66" t="inlineStr">
        <is>
          <t>  </t>
        </is>
      </c>
      <c r="E259" s="66" t="inlineStr">
        <is>
          <t>  </t>
        </is>
      </c>
    </row>
    <row r="260" ht="28.5" customHeight="1" s="71">
      <c r="A260" s="68" t="n">
        <v>-110</v>
      </c>
      <c r="B260" s="68" t="inlineStr">
        <is>
          <t>'\!/</t>
        </is>
      </c>
      <c r="C260" s="68" t="inlineStr">
        <is>
          <t>'\!/</t>
        </is>
      </c>
      <c r="D260" s="66" t="inlineStr">
        <is>
          <t> </t>
        </is>
      </c>
      <c r="E260" s="66" t="inlineStr">
        <is>
          <t> </t>
        </is>
      </c>
    </row>
    <row r="261" ht="28.5" customHeight="1" s="71">
      <c r="A261" s="68" t="n">
        <v>-111</v>
      </c>
      <c r="B261" s="68" t="inlineStr">
        <is>
          <t>,'\!/</t>
        </is>
      </c>
      <c r="C261" s="68" t="inlineStr">
        <is>
          <t>,'\!/</t>
        </is>
      </c>
      <c r="D261" s="66" t="inlineStr">
        <is>
          <t>  </t>
        </is>
      </c>
      <c r="E261" s="66" t="inlineStr">
        <is>
          <t>  </t>
        </is>
      </c>
    </row>
    <row r="262" ht="28.5" customHeight="1" s="71">
      <c r="A262" s="68" t="n">
        <v>-112</v>
      </c>
      <c r="B262" s="68" t="inlineStr">
        <is>
          <t>``\!/</t>
        </is>
      </c>
      <c r="C262" s="68" t="inlineStr">
        <is>
          <t>``\!/</t>
        </is>
      </c>
      <c r="D262" s="66" t="inlineStr">
        <is>
          <t> </t>
        </is>
      </c>
      <c r="E262" s="66" t="inlineStr">
        <is>
          <t> </t>
        </is>
      </c>
    </row>
    <row r="263" ht="28.5" customHeight="1" s="71">
      <c r="A263" s="68" t="n">
        <v>-113</v>
      </c>
      <c r="B263" s="68" t="inlineStr">
        <is>
          <t>`\!/</t>
        </is>
      </c>
      <c r="C263" s="68" t="inlineStr">
        <is>
          <t>`\!/</t>
        </is>
      </c>
      <c r="D263" s="66" t="inlineStr">
        <is>
          <t> </t>
        </is>
      </c>
      <c r="E263" s="66" t="inlineStr">
        <is>
          <t> </t>
        </is>
      </c>
    </row>
    <row r="264" ht="28.5" customHeight="1" s="71">
      <c r="A264" s="68" t="n">
        <v>-114</v>
      </c>
      <c r="B264" s="68" t="inlineStr">
        <is>
          <t>\!/</t>
        </is>
      </c>
      <c r="C264" s="68" t="inlineStr">
        <is>
          <t>\!/</t>
        </is>
      </c>
      <c r="D264" s="66" t="inlineStr">
        <is>
          <t></t>
        </is>
      </c>
      <c r="E264" s="66" t="inlineStr">
        <is>
          <t></t>
        </is>
      </c>
    </row>
    <row r="265" ht="28.5" customHeight="1" s="71">
      <c r="A265" s="68" t="n">
        <v>-115</v>
      </c>
      <c r="B265" s="68" t="inlineStr">
        <is>
          <t>,\!/</t>
        </is>
      </c>
      <c r="C265" s="68" t="inlineStr">
        <is>
          <t>,\!/</t>
        </is>
      </c>
      <c r="D265" s="66" t="inlineStr">
        <is>
          <t> </t>
        </is>
      </c>
      <c r="E265" s="66" t="inlineStr">
        <is>
          <t> </t>
        </is>
      </c>
    </row>
    <row r="266" ht="28.5" customHeight="1" s="71">
      <c r="A266" s="68" t="n">
        <v>-116</v>
      </c>
      <c r="B266" s="68" t="inlineStr">
        <is>
          <t>`(\!</t>
        </is>
      </c>
      <c r="C266" s="68" t="inlineStr">
        <is>
          <t>`(\!</t>
        </is>
      </c>
      <c r="D266" s="66" t="inlineStr">
        <is>
          <t> </t>
        </is>
      </c>
      <c r="E266" s="66" t="inlineStr">
        <is>
          <t> </t>
        </is>
      </c>
    </row>
    <row r="267" ht="28.5" customHeight="1" s="71">
      <c r="A267" s="68" t="n">
        <v>-117</v>
      </c>
      <c r="B267" s="68" t="inlineStr">
        <is>
          <t>(\!</t>
        </is>
      </c>
      <c r="C267" s="68" t="inlineStr">
        <is>
          <t>(\!</t>
        </is>
      </c>
      <c r="D267" s="66" t="inlineStr">
        <is>
          <t></t>
        </is>
      </c>
      <c r="E267" s="66" t="inlineStr">
        <is>
          <t></t>
        </is>
      </c>
    </row>
    <row r="268" ht="28.5" customHeight="1" s="71">
      <c r="A268" s="68" t="n">
        <v>-118</v>
      </c>
      <c r="B268" s="68" t="inlineStr">
        <is>
          <t>,(\!</t>
        </is>
      </c>
      <c r="C268" s="68" t="inlineStr">
        <is>
          <t>,(\!</t>
        </is>
      </c>
      <c r="D268" s="66" t="inlineStr">
        <is>
          <t> </t>
        </is>
      </c>
      <c r="E268" s="66" t="inlineStr">
        <is>
          <t> </t>
        </is>
      </c>
    </row>
    <row r="269" ht="28.5" customHeight="1" s="71">
      <c r="A269" s="68" t="n">
        <v>-119</v>
      </c>
      <c r="B269" s="68" t="inlineStr">
        <is>
          <t>.\!/</t>
        </is>
      </c>
      <c r="C269" s="68" t="inlineStr">
        <is>
          <t>.\!/</t>
        </is>
      </c>
      <c r="D269" s="66" t="inlineStr">
        <is>
          <t> </t>
        </is>
      </c>
      <c r="E269" s="66" t="inlineStr">
        <is>
          <t> </t>
        </is>
      </c>
    </row>
    <row r="270" ht="28.5" customHeight="1" s="71">
      <c r="A270" s="68" t="n">
        <v>-120</v>
      </c>
      <c r="B270" s="68" t="inlineStr">
        <is>
          <t>,.\!/</t>
        </is>
      </c>
      <c r="C270" s="68" t="inlineStr">
        <is>
          <t>,.\!/</t>
        </is>
      </c>
      <c r="D270" s="66" t="inlineStr">
        <is>
          <t>  </t>
        </is>
      </c>
      <c r="E270" s="66" t="inlineStr">
        <is>
          <t>  </t>
        </is>
      </c>
    </row>
    <row r="271" ht="28.5" customHeight="1" s="71">
      <c r="A271" s="68" t="n">
        <v>-121</v>
      </c>
      <c r="B271" s="68" t="inlineStr">
        <is>
          <t>`)\!/</t>
        </is>
      </c>
      <c r="C271" s="68" t="inlineStr">
        <is>
          <t>`)\!/</t>
        </is>
      </c>
      <c r="D271" s="66" t="inlineStr">
        <is>
          <t> </t>
        </is>
      </c>
      <c r="E271" s="66" t="inlineStr">
        <is>
          <t> </t>
        </is>
      </c>
    </row>
    <row r="272" ht="28.5" customHeight="1" s="71">
      <c r="A272" s="68" t="n">
        <v>-122</v>
      </c>
      <c r="B272" s="68" t="inlineStr">
        <is>
          <t>)\!/</t>
        </is>
      </c>
      <c r="C272" s="68" t="inlineStr">
        <is>
          <t>)\!/</t>
        </is>
      </c>
      <c r="D272" s="66" t="inlineStr">
        <is>
          <t></t>
        </is>
      </c>
      <c r="E272" s="66" t="inlineStr">
        <is>
          <t></t>
        </is>
      </c>
    </row>
    <row r="273" ht="28.5" customHeight="1" s="71">
      <c r="A273" s="68" t="n">
        <v>-123</v>
      </c>
      <c r="B273" s="68" t="inlineStr">
        <is>
          <t>,)\!/</t>
        </is>
      </c>
      <c r="C273" s="68" t="inlineStr">
        <is>
          <t>,)\!/</t>
        </is>
      </c>
      <c r="D273" s="66" t="inlineStr">
        <is>
          <t> </t>
        </is>
      </c>
      <c r="E273" s="66" t="inlineStr">
        <is>
          <t> </t>
        </is>
      </c>
    </row>
    <row r="274" ht="28.5" customHeight="1" s="71">
      <c r="A274" s="68" t="n">
        <v>-124</v>
      </c>
      <c r="B274" s="68" t="inlineStr">
        <is>
          <t>,,)\!/</t>
        </is>
      </c>
      <c r="C274" s="68" t="inlineStr">
        <is>
          <t>,,)\!/</t>
        </is>
      </c>
      <c r="D274" s="66" t="inlineStr">
        <is>
          <t> </t>
        </is>
      </c>
      <c r="E274" s="66" t="inlineStr">
        <is>
          <t> </t>
        </is>
      </c>
    </row>
    <row r="275" ht="28.5" customHeight="1" s="71">
      <c r="A275" s="68" t="n">
        <v>-125</v>
      </c>
      <c r="B275" s="68" t="inlineStr">
        <is>
          <t>`'(!)</t>
        </is>
      </c>
      <c r="C275" s="68" t="inlineStr">
        <is>
          <t>`'(!)</t>
        </is>
      </c>
      <c r="D275" s="66" t="inlineStr">
        <is>
          <t>  </t>
        </is>
      </c>
      <c r="E275" s="66" t="inlineStr">
        <is>
          <t>  </t>
        </is>
      </c>
    </row>
    <row r="276" ht="28.5" customHeight="1" s="71">
      <c r="A276" s="68" t="n">
        <v>-126</v>
      </c>
      <c r="B276" s="68" t="inlineStr">
        <is>
          <t>'(!)</t>
        </is>
      </c>
      <c r="C276" s="68" t="inlineStr">
        <is>
          <t>'(!)</t>
        </is>
      </c>
      <c r="D276" s="66" t="inlineStr">
        <is>
          <t> </t>
        </is>
      </c>
      <c r="E276" s="66" t="inlineStr">
        <is>
          <t> </t>
        </is>
      </c>
    </row>
    <row r="277" ht="28.5" customHeight="1" s="71">
      <c r="A277" s="68" t="n">
        <v>-127</v>
      </c>
      <c r="B277" s="68" t="inlineStr">
        <is>
          <t>`!/)</t>
        </is>
      </c>
      <c r="C277" s="68" t="inlineStr">
        <is>
          <t>`!/)</t>
        </is>
      </c>
      <c r="D277" s="66" t="inlineStr">
        <is>
          <t> </t>
        </is>
      </c>
      <c r="E277" s="66" t="inlineStr">
        <is>
          <t> </t>
        </is>
      </c>
    </row>
    <row r="278" ht="28.5" customHeight="1" s="71">
      <c r="A278" s="68" t="n">
        <v>-128</v>
      </c>
      <c r="B278" s="68" t="inlineStr">
        <is>
          <t>!/)</t>
        </is>
      </c>
      <c r="C278" s="68" t="inlineStr">
        <is>
          <t>!/)</t>
        </is>
      </c>
      <c r="D278" s="66" t="inlineStr">
        <is>
          <t></t>
        </is>
      </c>
      <c r="E278" s="66" t="inlineStr">
        <is>
          <t></t>
        </is>
      </c>
    </row>
    <row r="279" ht="28.5" customHeight="1" s="71">
      <c r="A279" s="68" t="n">
        <v>-129</v>
      </c>
      <c r="B279" s="68" t="inlineStr">
        <is>
          <t>,!/)</t>
        </is>
      </c>
      <c r="C279" s="68" t="inlineStr">
        <is>
          <t>,!/)</t>
        </is>
      </c>
      <c r="D279" s="66" t="inlineStr">
        <is>
          <t> </t>
        </is>
      </c>
      <c r="E279" s="66" t="inlineStr">
        <is>
          <t> </t>
        </is>
      </c>
    </row>
    <row r="280" ht="28.5" customHeight="1" s="71">
      <c r="A280" s="68" t="n">
        <v>-130</v>
      </c>
      <c r="B280" s="68" t="inlineStr">
        <is>
          <t>`(!)</t>
        </is>
      </c>
      <c r="C280" s="68" t="inlineStr">
        <is>
          <t>`(!)</t>
        </is>
      </c>
      <c r="D280" s="66" t="inlineStr">
        <is>
          <t> </t>
        </is>
      </c>
      <c r="E280" s="66" t="inlineStr">
        <is>
          <t> </t>
        </is>
      </c>
    </row>
    <row r="281" ht="28.5" customHeight="1" s="71">
      <c r="A281" s="68" t="n">
        <v>-131</v>
      </c>
      <c r="B281" s="68" t="inlineStr">
        <is>
          <t>(!)</t>
        </is>
      </c>
      <c r="C281" s="68" t="inlineStr">
        <is>
          <t>(!)</t>
        </is>
      </c>
      <c r="D281" s="66" t="inlineStr">
        <is>
          <t></t>
        </is>
      </c>
      <c r="E281" s="66" t="inlineStr">
        <is>
          <t></t>
        </is>
      </c>
    </row>
    <row r="282" ht="28.5" customHeight="1" s="71">
      <c r="A282" s="68" t="n">
        <v>-132</v>
      </c>
      <c r="B282" s="68" t="inlineStr">
        <is>
          <t>,(!)</t>
        </is>
      </c>
      <c r="C282" s="68" t="inlineStr">
        <is>
          <t>,(!)</t>
        </is>
      </c>
      <c r="D282" s="66" t="inlineStr">
        <is>
          <t> </t>
        </is>
      </c>
      <c r="E282" s="66" t="inlineStr">
        <is>
          <t> </t>
        </is>
      </c>
    </row>
    <row r="283" ht="28.5" customHeight="1" s="71">
      <c r="A283" s="68" t="n">
        <v>-133</v>
      </c>
      <c r="B283" s="68" t="inlineStr">
        <is>
          <t>,,(!)</t>
        </is>
      </c>
      <c r="C283" s="68" t="inlineStr">
        <is>
          <t>,,(!)</t>
        </is>
      </c>
      <c r="D283" s="66" t="inlineStr">
        <is>
          <t> </t>
        </is>
      </c>
      <c r="E283" s="66" t="inlineStr">
        <is>
          <t> </t>
        </is>
      </c>
    </row>
    <row r="284" ht="28.5" customHeight="1" s="71">
      <c r="A284" s="68" t="n">
        <v>-134</v>
      </c>
      <c r="B284" s="68" t="inlineStr">
        <is>
          <t>`.(!)</t>
        </is>
      </c>
      <c r="C284" s="68" t="inlineStr">
        <is>
          <t>`.(!)</t>
        </is>
      </c>
      <c r="D284" s="66" t="inlineStr">
        <is>
          <t>  </t>
        </is>
      </c>
      <c r="E284" s="66" t="inlineStr">
        <is>
          <t>  </t>
        </is>
      </c>
    </row>
    <row r="285" ht="28.5" customHeight="1" s="71">
      <c r="A285" s="68" t="n">
        <v>-135</v>
      </c>
      <c r="B285" s="68" t="inlineStr">
        <is>
          <t>.(!)</t>
        </is>
      </c>
      <c r="C285" s="68" t="inlineStr">
        <is>
          <t>.(!)</t>
        </is>
      </c>
      <c r="D285" s="66" t="inlineStr">
        <is>
          <t> </t>
        </is>
      </c>
      <c r="E285" s="66" t="inlineStr">
        <is>
          <t> </t>
        </is>
      </c>
    </row>
    <row r="286" ht="28.5" customHeight="1" s="71">
      <c r="A286" s="68" t="n">
        <v>-136</v>
      </c>
      <c r="B286" s="68" t="inlineStr">
        <is>
          <t>`'(!/</t>
        </is>
      </c>
      <c r="C286" s="68" t="inlineStr">
        <is>
          <t>`'(!/</t>
        </is>
      </c>
      <c r="D286" s="66" t="inlineStr">
        <is>
          <t>  </t>
        </is>
      </c>
      <c r="E286" s="66" t="inlineStr">
        <is>
          <t>  </t>
        </is>
      </c>
    </row>
    <row r="287" ht="28.5" customHeight="1" s="71">
      <c r="A287" s="68" t="n">
        <v>-137</v>
      </c>
      <c r="B287" s="68" t="inlineStr">
        <is>
          <t>'(!/</t>
        </is>
      </c>
      <c r="C287" s="68" t="inlineStr">
        <is>
          <t>'(!/</t>
        </is>
      </c>
      <c r="D287" s="66" t="inlineStr">
        <is>
          <t> </t>
        </is>
      </c>
      <c r="E287" s="66" t="inlineStr">
        <is>
          <t> </t>
        </is>
      </c>
    </row>
    <row r="288" ht="28.5" customHeight="1" s="71">
      <c r="A288" s="68" t="n">
        <v>-138</v>
      </c>
      <c r="B288" s="68" t="inlineStr">
        <is>
          <t>,'(!/</t>
        </is>
      </c>
      <c r="C288" s="68" t="inlineStr">
        <is>
          <t>,'(!/</t>
        </is>
      </c>
      <c r="D288" s="66" t="inlineStr">
        <is>
          <t>  </t>
        </is>
      </c>
      <c r="E288" s="66" t="inlineStr">
        <is>
          <t>  </t>
        </is>
      </c>
    </row>
    <row r="289" ht="28.5" customHeight="1" s="71">
      <c r="A289" s="68" t="n">
        <v>-139</v>
      </c>
      <c r="B289" s="68" t="inlineStr">
        <is>
          <t>!//</t>
        </is>
      </c>
      <c r="C289" s="68" t="inlineStr">
        <is>
          <t>!//</t>
        </is>
      </c>
      <c r="D289" s="66" t="inlineStr">
        <is>
          <t></t>
        </is>
      </c>
      <c r="E289" s="66" t="inlineStr">
        <is>
          <t></t>
        </is>
      </c>
    </row>
    <row r="290" ht="28.5" customHeight="1" s="71">
      <c r="A290" s="68" t="n">
        <v>-140</v>
      </c>
      <c r="B290" s="68" t="inlineStr">
        <is>
          <t>`(!/</t>
        </is>
      </c>
      <c r="C290" s="68" t="inlineStr">
        <is>
          <t>`(!/</t>
        </is>
      </c>
      <c r="D290" s="66" t="inlineStr">
        <is>
          <t> </t>
        </is>
      </c>
      <c r="E290" s="66" t="inlineStr">
        <is>
          <t> </t>
        </is>
      </c>
    </row>
    <row r="291" ht="28.5" customHeight="1" s="71">
      <c r="A291" s="68" t="n">
        <v>-141</v>
      </c>
      <c r="B291" s="68" t="inlineStr">
        <is>
          <t>(!/</t>
        </is>
      </c>
      <c r="C291" s="68" t="inlineStr">
        <is>
          <t>(!/</t>
        </is>
      </c>
      <c r="D291" s="66" t="inlineStr">
        <is>
          <t></t>
        </is>
      </c>
      <c r="E291" s="66" t="inlineStr">
        <is>
          <t></t>
        </is>
      </c>
    </row>
    <row r="292" ht="28.5" customHeight="1" s="71">
      <c r="A292" s="68" t="n">
        <v>-142</v>
      </c>
      <c r="B292" s="68" t="inlineStr">
        <is>
          <t>,(!/</t>
        </is>
      </c>
      <c r="C292" s="68" t="inlineStr">
        <is>
          <t>,(!/</t>
        </is>
      </c>
      <c r="D292" s="66" t="inlineStr">
        <is>
          <t> </t>
        </is>
      </c>
      <c r="E292" s="66" t="inlineStr">
        <is>
          <t> </t>
        </is>
      </c>
    </row>
    <row r="293" ht="28.5" customHeight="1" s="71">
      <c r="A293" s="68" t="n">
        <v>-143</v>
      </c>
      <c r="B293" s="68" t="inlineStr">
        <is>
          <t>,,(!/</t>
        </is>
      </c>
      <c r="C293" s="68" t="inlineStr">
        <is>
          <t>,,(!/</t>
        </is>
      </c>
      <c r="D293" s="69" t="inlineStr">
        <is>
          <t> </t>
        </is>
      </c>
      <c r="E293" s="66" t="inlineStr">
        <is>
          <t> </t>
        </is>
      </c>
    </row>
    <row r="294" ht="28.5" customHeight="1" s="71">
      <c r="A294" s="68" t="n">
        <v>-144</v>
      </c>
      <c r="B294" s="68" t="inlineStr">
        <is>
          <t>``)!//</t>
        </is>
      </c>
      <c r="C294" s="68" t="inlineStr">
        <is>
          <t>``)!//</t>
        </is>
      </c>
      <c r="D294" s="66" t="inlineStr">
        <is>
          <t> </t>
        </is>
      </c>
      <c r="E294" s="66" t="inlineStr">
        <is>
          <t> </t>
        </is>
      </c>
    </row>
    <row r="295" ht="28.5" customHeight="1" s="71">
      <c r="A295" s="68" t="n">
        <v>-145</v>
      </c>
      <c r="B295" s="68" t="inlineStr">
        <is>
          <t>`)!//</t>
        </is>
      </c>
      <c r="C295" s="68" t="inlineStr">
        <is>
          <t>`)!//</t>
        </is>
      </c>
      <c r="D295" s="66" t="inlineStr">
        <is>
          <t> </t>
        </is>
      </c>
      <c r="E295" s="66" t="inlineStr">
        <is>
          <t> </t>
        </is>
      </c>
    </row>
    <row r="296" ht="28.5" customHeight="1" s="71">
      <c r="A296" s="68" t="n">
        <v>-146</v>
      </c>
      <c r="B296" s="68" t="inlineStr">
        <is>
          <t>)!//</t>
        </is>
      </c>
      <c r="C296" s="68" t="inlineStr">
        <is>
          <t>)!//</t>
        </is>
      </c>
      <c r="D296" s="66" t="inlineStr">
        <is>
          <t></t>
        </is>
      </c>
      <c r="E296" s="66" t="inlineStr">
        <is>
          <t></t>
        </is>
      </c>
    </row>
    <row r="297" ht="28.5" customHeight="1" s="71">
      <c r="A297" s="68" t="n">
        <v>-147</v>
      </c>
      <c r="B297" s="68" t="inlineStr">
        <is>
          <t>,)!//</t>
        </is>
      </c>
      <c r="C297" s="68" t="inlineStr">
        <is>
          <t>,)!//</t>
        </is>
      </c>
      <c r="D297" s="69" t="inlineStr">
        <is>
          <t> </t>
        </is>
      </c>
      <c r="E297" s="66" t="inlineStr">
        <is>
          <t> </t>
        </is>
      </c>
    </row>
    <row r="298" ht="28.5" customHeight="1" s="71">
      <c r="A298" s="68" t="n">
        <v>-148</v>
      </c>
      <c r="B298" s="68" t="inlineStr">
        <is>
          <t>,,)!//</t>
        </is>
      </c>
      <c r="C298" s="68" t="inlineStr">
        <is>
          <t>,,)!//</t>
        </is>
      </c>
      <c r="D298" s="69" t="inlineStr">
        <is>
          <t> </t>
        </is>
      </c>
      <c r="E298" s="69" t="inlineStr">
        <is>
          <t> </t>
        </is>
      </c>
    </row>
    <row r="299" ht="28.5" customHeight="1" s="71">
      <c r="A299" s="68" t="n">
        <v>1000</v>
      </c>
      <c r="B299" s="68" t="inlineStr">
        <is>
          <t>#</t>
        </is>
      </c>
      <c r="C299" s="68" t="inlineStr">
        <is>
          <t>/||\</t>
        </is>
      </c>
      <c r="D299" s="66" t="inlineStr">
        <is>
          <t></t>
        </is>
      </c>
      <c r="E299" s="66" t="inlineStr">
        <is>
          <t></t>
        </is>
      </c>
    </row>
    <row r="300" ht="28.5" customHeight="1" s="71">
      <c r="A300" s="68" t="n">
        <v>1001</v>
      </c>
      <c r="B300" s="68" t="inlineStr">
        <is>
          <t>`|#</t>
        </is>
      </c>
      <c r="C300" s="68" t="inlineStr">
        <is>
          <t>`/||\</t>
        </is>
      </c>
      <c r="D300" s="66" t="inlineStr">
        <is>
          <t>  </t>
        </is>
      </c>
      <c r="E300" s="66" t="inlineStr">
        <is>
          <t> </t>
        </is>
      </c>
    </row>
    <row r="301" ht="28.5" customHeight="1" s="71">
      <c r="A301" s="68" t="n">
        <v>1002</v>
      </c>
      <c r="B301" s="68" t="inlineStr">
        <is>
          <t>``|#</t>
        </is>
      </c>
      <c r="C301" s="68" t="inlineStr">
        <is>
          <t>``/||\</t>
        </is>
      </c>
      <c r="D301" s="66" t="inlineStr">
        <is>
          <t>  </t>
        </is>
      </c>
      <c r="E301" s="66" t="inlineStr">
        <is>
          <t> </t>
        </is>
      </c>
    </row>
    <row r="302" ht="28.5" customHeight="1" s="71">
      <c r="A302" s="68" t="n">
        <v>1003</v>
      </c>
      <c r="B302" s="68" t="inlineStr">
        <is>
          <t>.)|#</t>
        </is>
      </c>
      <c r="C302" s="68" t="inlineStr">
        <is>
          <t>.)|||</t>
        </is>
      </c>
      <c r="D302" s="66" t="inlineStr">
        <is>
          <t>  </t>
        </is>
      </c>
      <c r="E302" s="66" t="inlineStr">
        <is>
          <t> </t>
        </is>
      </c>
    </row>
    <row r="303" ht="28.5" customHeight="1" s="71">
      <c r="A303" s="68" t="n">
        <v>1004</v>
      </c>
      <c r="B303" s="67" t="inlineStr">
        <is>
          <t>'|#</t>
        </is>
      </c>
      <c r="C303" s="68" t="inlineStr">
        <is>
          <t>'/||\</t>
        </is>
      </c>
      <c r="D303" s="66" t="inlineStr">
        <is>
          <t>  </t>
        </is>
      </c>
      <c r="E303" s="66" t="inlineStr">
        <is>
          <t> </t>
        </is>
      </c>
    </row>
    <row r="304" ht="28.5" customHeight="1" s="71">
      <c r="A304" s="68" t="n">
        <v>1005</v>
      </c>
      <c r="B304" s="68" t="inlineStr">
        <is>
          <t>`'|#</t>
        </is>
      </c>
      <c r="C304" s="68" t="inlineStr">
        <is>
          <t>`'/||\</t>
        </is>
      </c>
      <c r="D304" s="66" t="inlineStr">
        <is>
          <t>   </t>
        </is>
      </c>
      <c r="E304" s="66" t="inlineStr">
        <is>
          <t>  </t>
        </is>
      </c>
    </row>
    <row r="305" ht="28.5" customHeight="1" s="71">
      <c r="A305" s="68" t="n">
        <v>1006</v>
      </c>
      <c r="B305" s="68" t="inlineStr">
        <is>
          <t>,)|#</t>
        </is>
      </c>
      <c r="C305" s="68" t="inlineStr">
        <is>
          <t>,)|||</t>
        </is>
      </c>
      <c r="D305" s="66" t="inlineStr">
        <is>
          <t>  </t>
        </is>
      </c>
      <c r="E305" s="66" t="inlineStr">
        <is>
          <t> </t>
        </is>
      </c>
    </row>
    <row r="306" ht="28.5" customHeight="1" s="71">
      <c r="A306" s="68" t="n">
        <v>1007</v>
      </c>
      <c r="B306" s="68" t="inlineStr">
        <is>
          <t>)|#</t>
        </is>
      </c>
      <c r="C306" s="68" t="inlineStr">
        <is>
          <t>)|||</t>
        </is>
      </c>
      <c r="D306" s="66" t="inlineStr">
        <is>
          <t> </t>
        </is>
      </c>
      <c r="E306" s="66" t="inlineStr">
        <is>
          <t></t>
        </is>
      </c>
    </row>
    <row r="307" ht="28.5" customHeight="1" s="71">
      <c r="A307" s="68" t="n">
        <v>1008</v>
      </c>
      <c r="B307" s="68" t="inlineStr">
        <is>
          <t>`)|#</t>
        </is>
      </c>
      <c r="C307" s="68" t="inlineStr">
        <is>
          <t>`)|||</t>
        </is>
      </c>
      <c r="D307" s="66" t="inlineStr">
        <is>
          <t>  </t>
        </is>
      </c>
      <c r="E307" s="66" t="inlineStr">
        <is>
          <t> </t>
        </is>
      </c>
    </row>
    <row r="308" ht="28.5" customHeight="1" s="71">
      <c r="A308" s="68" t="n">
        <v>1009</v>
      </c>
      <c r="B308" s="68" t="inlineStr">
        <is>
          <t>``)|#</t>
        </is>
      </c>
      <c r="C308" s="68" t="inlineStr">
        <is>
          <t>``)|||</t>
        </is>
      </c>
      <c r="D308" s="66" t="inlineStr">
        <is>
          <t>  </t>
        </is>
      </c>
      <c r="E308" s="66" t="inlineStr">
        <is>
          <t> </t>
        </is>
      </c>
    </row>
    <row r="309" ht="28.5" customHeight="1" s="71">
      <c r="A309" s="68" t="n">
        <v>1010</v>
      </c>
      <c r="B309" s="68" t="inlineStr">
        <is>
          <t>,,|(#</t>
        </is>
      </c>
      <c r="C309" s="68" t="inlineStr">
        <is>
          <t>,,|||(</t>
        </is>
      </c>
      <c r="D309" s="66" t="inlineStr">
        <is>
          <t>  </t>
        </is>
      </c>
      <c r="E309" s="66" t="inlineStr">
        <is>
          <t> </t>
        </is>
      </c>
    </row>
    <row r="310" ht="28.5" customHeight="1" s="71">
      <c r="A310" s="68" t="n">
        <v>1011</v>
      </c>
      <c r="B310" s="68" t="inlineStr">
        <is>
          <t>,|(#</t>
        </is>
      </c>
      <c r="C310" s="68" t="inlineStr">
        <is>
          <t>,|||(</t>
        </is>
      </c>
      <c r="D310" s="66" t="inlineStr">
        <is>
          <t>  </t>
        </is>
      </c>
      <c r="E310" s="66" t="inlineStr">
        <is>
          <t> </t>
        </is>
      </c>
    </row>
    <row r="311" ht="28.5" customHeight="1" s="71">
      <c r="A311" s="68" t="n">
        <v>1012</v>
      </c>
      <c r="B311" s="68" t="inlineStr">
        <is>
          <t>|(#</t>
        </is>
      </c>
      <c r="C311" s="68" t="inlineStr">
        <is>
          <t>|||(</t>
        </is>
      </c>
      <c r="D311" s="66" t="inlineStr">
        <is>
          <t> </t>
        </is>
      </c>
      <c r="E311" s="66" t="inlineStr">
        <is>
          <t></t>
        </is>
      </c>
    </row>
    <row r="312" ht="28.5" customHeight="1" s="71">
      <c r="A312" s="68" t="n">
        <v>1013</v>
      </c>
      <c r="B312" s="68" t="inlineStr">
        <is>
          <t>`|(#</t>
        </is>
      </c>
      <c r="C312" s="68" t="inlineStr">
        <is>
          <t>`|||(</t>
        </is>
      </c>
      <c r="D312" s="66" t="inlineStr">
        <is>
          <t>  </t>
        </is>
      </c>
      <c r="E312" s="66" t="inlineStr">
        <is>
          <t> </t>
        </is>
      </c>
    </row>
    <row r="313" ht="28.5" customHeight="1" s="71">
      <c r="A313" s="68" t="n">
        <v>1014</v>
      </c>
      <c r="B313" s="68" t="inlineStr">
        <is>
          <t>.~|#</t>
        </is>
      </c>
      <c r="C313" s="68" t="inlineStr">
        <is>
          <t>.~|||</t>
        </is>
      </c>
      <c r="D313" s="66" t="inlineStr">
        <is>
          <t>  </t>
        </is>
      </c>
      <c r="E313" s="66" t="inlineStr">
        <is>
          <t> </t>
        </is>
      </c>
    </row>
    <row r="314" ht="28.5" customHeight="1" s="71">
      <c r="A314" s="68" t="n">
        <v>1015</v>
      </c>
      <c r="B314" s="68" t="inlineStr">
        <is>
          <t>,'|(#</t>
        </is>
      </c>
      <c r="C314" s="68" t="inlineStr">
        <is>
          <t>,'|||(</t>
        </is>
      </c>
      <c r="D314" s="66" t="inlineStr">
        <is>
          <t>   </t>
        </is>
      </c>
      <c r="E314" s="66" t="inlineStr">
        <is>
          <t>  </t>
        </is>
      </c>
    </row>
    <row r="315" ht="28.5" customHeight="1" s="71">
      <c r="A315" s="68" t="n">
        <v>1016</v>
      </c>
      <c r="B315" s="68" t="inlineStr">
        <is>
          <t>'|(#</t>
        </is>
      </c>
      <c r="C315" s="68" t="inlineStr">
        <is>
          <t>'|||(</t>
        </is>
      </c>
      <c r="D315" s="66" t="inlineStr">
        <is>
          <t>  </t>
        </is>
      </c>
      <c r="E315" s="66" t="inlineStr">
        <is>
          <t> </t>
        </is>
      </c>
    </row>
    <row r="316" ht="28.5" customHeight="1" s="71">
      <c r="A316" s="68" t="n">
        <v>1017</v>
      </c>
      <c r="B316" s="68" t="inlineStr">
        <is>
          <t>,~|#</t>
        </is>
      </c>
      <c r="C316" s="68" t="inlineStr">
        <is>
          <t>,~|||</t>
        </is>
      </c>
      <c r="D316" s="66" t="inlineStr">
        <is>
          <t>  </t>
        </is>
      </c>
      <c r="E316" s="66" t="inlineStr">
        <is>
          <t> </t>
        </is>
      </c>
    </row>
    <row r="317" ht="28.5" customHeight="1" s="71">
      <c r="A317" s="68" t="n">
        <v>1018</v>
      </c>
      <c r="B317" s="68" t="inlineStr">
        <is>
          <t>~|#</t>
        </is>
      </c>
      <c r="C317" s="68" t="inlineStr">
        <is>
          <t>~|||</t>
        </is>
      </c>
      <c r="D317" s="66" t="inlineStr">
        <is>
          <t> </t>
        </is>
      </c>
      <c r="E317" s="66" t="inlineStr">
        <is>
          <t></t>
        </is>
      </c>
    </row>
    <row r="318" ht="28.5" customHeight="1" s="71">
      <c r="A318" s="68" t="n">
        <v>1019</v>
      </c>
      <c r="B318" s="68" t="inlineStr">
        <is>
          <t>,)|(#</t>
        </is>
      </c>
      <c r="C318" s="68" t="inlineStr">
        <is>
          <t>,)|||(</t>
        </is>
      </c>
      <c r="D318" s="66" t="inlineStr">
        <is>
          <t>  </t>
        </is>
      </c>
      <c r="E318" s="66" t="inlineStr">
        <is>
          <t> </t>
        </is>
      </c>
    </row>
    <row r="319" ht="28.5" customHeight="1" s="71">
      <c r="A319" s="68" t="n">
        <v>1020</v>
      </c>
      <c r="B319" s="68" t="inlineStr">
        <is>
          <t>)|(#</t>
        </is>
      </c>
      <c r="C319" s="68" t="inlineStr">
        <is>
          <t>)|||(</t>
        </is>
      </c>
      <c r="D319" s="66" t="inlineStr">
        <is>
          <t> </t>
        </is>
      </c>
      <c r="E319" s="66" t="inlineStr">
        <is>
          <t></t>
        </is>
      </c>
    </row>
    <row r="320" ht="28.5" customHeight="1" s="71">
      <c r="A320" s="68" t="n">
        <v>1021</v>
      </c>
      <c r="B320" s="68" t="inlineStr">
        <is>
          <t>`)|(#</t>
        </is>
      </c>
      <c r="C320" s="68" t="inlineStr">
        <is>
          <t>`)|||(</t>
        </is>
      </c>
      <c r="D320" s="66" t="inlineStr">
        <is>
          <t>  </t>
        </is>
      </c>
      <c r="E320" s="66" t="inlineStr">
        <is>
          <t> </t>
        </is>
      </c>
    </row>
    <row r="321" ht="28.5" customHeight="1" s="71">
      <c r="A321" s="68" t="n">
        <v>1022</v>
      </c>
      <c r="B321" s="68" t="inlineStr">
        <is>
          <t>``)|(#</t>
        </is>
      </c>
      <c r="C321" s="68" t="inlineStr">
        <is>
          <t>``)|||(</t>
        </is>
      </c>
      <c r="D321" s="66" t="inlineStr">
        <is>
          <t>  </t>
        </is>
      </c>
      <c r="E321" s="66" t="inlineStr">
        <is>
          <t> </t>
        </is>
      </c>
    </row>
    <row r="322" ht="28.5" customHeight="1" s="71">
      <c r="A322" s="68" t="n">
        <v>1023</v>
      </c>
      <c r="B322" s="68" t="inlineStr">
        <is>
          <t>,')|(#</t>
        </is>
      </c>
      <c r="C322" s="68" t="inlineStr">
        <is>
          <t>,')|||(</t>
        </is>
      </c>
      <c r="D322" s="66" t="inlineStr">
        <is>
          <t>   </t>
        </is>
      </c>
      <c r="E322" s="66" t="inlineStr">
        <is>
          <t>  </t>
        </is>
      </c>
    </row>
    <row r="323" ht="28.5" customHeight="1" s="71">
      <c r="A323" s="68" t="n">
        <v>1024</v>
      </c>
      <c r="B323" s="68" t="inlineStr">
        <is>
          <t>')|(#</t>
        </is>
      </c>
      <c r="C323" s="68" t="inlineStr">
        <is>
          <t>')|||(</t>
        </is>
      </c>
      <c r="D323" s="66" t="inlineStr">
        <is>
          <t>  </t>
        </is>
      </c>
      <c r="E323" s="66" t="inlineStr">
        <is>
          <t> </t>
        </is>
      </c>
    </row>
    <row r="324" ht="28.5" customHeight="1" s="71">
      <c r="A324" s="68" t="n">
        <v>1025</v>
      </c>
      <c r="B324" s="68" t="inlineStr">
        <is>
          <t>)~|#</t>
        </is>
      </c>
      <c r="C324" s="68" t="inlineStr">
        <is>
          <t>)~|||</t>
        </is>
      </c>
      <c r="D324" s="66" t="inlineStr">
        <is>
          <t> </t>
        </is>
      </c>
      <c r="E324" s="66" t="inlineStr">
        <is>
          <t></t>
        </is>
      </c>
    </row>
    <row r="325" ht="28.5" customHeight="1" s="71">
      <c r="A325" s="68" t="n">
        <v>1026</v>
      </c>
      <c r="B325" s="68" t="inlineStr">
        <is>
          <t>.~|(#</t>
        </is>
      </c>
      <c r="C325" s="68" t="inlineStr">
        <is>
          <t>.~|||(</t>
        </is>
      </c>
      <c r="D325" s="66" t="inlineStr">
        <is>
          <t>  </t>
        </is>
      </c>
      <c r="E325" s="66" t="inlineStr">
        <is>
          <t> </t>
        </is>
      </c>
    </row>
    <row r="326" ht="28.5" customHeight="1" s="71">
      <c r="A326" s="68" t="n">
        <v>1027</v>
      </c>
      <c r="B326" s="68" t="inlineStr">
        <is>
          <t>`.~|(#</t>
        </is>
      </c>
      <c r="C326" s="68" t="inlineStr">
        <is>
          <t>`.~|||(</t>
        </is>
      </c>
      <c r="D326" s="66" t="inlineStr">
        <is>
          <t>   </t>
        </is>
      </c>
      <c r="E326" s="66" t="inlineStr">
        <is>
          <t>  </t>
        </is>
      </c>
    </row>
    <row r="327" ht="28.5" customHeight="1" s="71">
      <c r="A327" s="68" t="n">
        <v>1028</v>
      </c>
      <c r="B327" s="68" t="inlineStr">
        <is>
          <t>,,~|(#</t>
        </is>
      </c>
      <c r="C327" s="68" t="inlineStr">
        <is>
          <t>,,~|||(</t>
        </is>
      </c>
      <c r="D327" s="66" t="inlineStr">
        <is>
          <t>  </t>
        </is>
      </c>
      <c r="E327" s="66" t="inlineStr">
        <is>
          <t> </t>
        </is>
      </c>
    </row>
    <row r="328" ht="28.5" customHeight="1" s="71">
      <c r="A328" s="68" t="n">
        <v>1029</v>
      </c>
      <c r="B328" s="68" t="inlineStr">
        <is>
          <t>,~|(#</t>
        </is>
      </c>
      <c r="C328" s="68" t="inlineStr">
        <is>
          <t>,~|||(</t>
        </is>
      </c>
      <c r="D328" s="66" t="inlineStr">
        <is>
          <t>  </t>
        </is>
      </c>
      <c r="E328" s="66" t="inlineStr">
        <is>
          <t> </t>
        </is>
      </c>
    </row>
    <row r="329" ht="28.5" customHeight="1" s="71">
      <c r="A329" s="68" t="n">
        <v>1030</v>
      </c>
      <c r="B329" s="68" t="inlineStr">
        <is>
          <t>~|(#</t>
        </is>
      </c>
      <c r="C329" s="68" t="inlineStr">
        <is>
          <t>~|||(</t>
        </is>
      </c>
      <c r="D329" s="66" t="inlineStr">
        <is>
          <t> </t>
        </is>
      </c>
      <c r="E329" s="66" t="inlineStr">
        <is>
          <t></t>
        </is>
      </c>
    </row>
    <row r="330" ht="28.5" customHeight="1" s="71">
      <c r="A330" s="68" t="n">
        <v>1031</v>
      </c>
      <c r="B330" s="68" t="inlineStr">
        <is>
          <t>`~|(#</t>
        </is>
      </c>
      <c r="C330" s="68" t="inlineStr">
        <is>
          <t>`~|||(</t>
        </is>
      </c>
      <c r="D330" s="66" t="inlineStr">
        <is>
          <t>  </t>
        </is>
      </c>
      <c r="E330" s="66" t="inlineStr">
        <is>
          <t> </t>
        </is>
      </c>
    </row>
    <row r="331" ht="28.5" customHeight="1" s="71">
      <c r="A331" s="68" t="n">
        <v>1032</v>
      </c>
      <c r="B331" s="68" t="inlineStr">
        <is>
          <t>,,|~#</t>
        </is>
      </c>
      <c r="C331" s="68" t="inlineStr">
        <is>
          <t>,,|||~</t>
        </is>
      </c>
      <c r="D331" s="66" t="inlineStr">
        <is>
          <t>  </t>
        </is>
      </c>
      <c r="E331" s="66" t="inlineStr">
        <is>
          <t> </t>
        </is>
      </c>
    </row>
    <row r="332" ht="28.5" customHeight="1" s="71">
      <c r="A332" s="68" t="n">
        <v>1033</v>
      </c>
      <c r="B332" s="68" t="inlineStr">
        <is>
          <t>,|~#</t>
        </is>
      </c>
      <c r="C332" s="68" t="inlineStr">
        <is>
          <t>,|||~</t>
        </is>
      </c>
      <c r="D332" s="66" t="inlineStr">
        <is>
          <t>  </t>
        </is>
      </c>
      <c r="E332" s="66" t="inlineStr">
        <is>
          <t> </t>
        </is>
      </c>
    </row>
    <row r="333" ht="28.5" customHeight="1" s="71">
      <c r="A333" s="68" t="n">
        <v>1034</v>
      </c>
      <c r="B333" s="68" t="inlineStr">
        <is>
          <t>|~#</t>
        </is>
      </c>
      <c r="C333" s="68" t="inlineStr">
        <is>
          <t>|||~</t>
        </is>
      </c>
      <c r="D333" s="66" t="inlineStr">
        <is>
          <t> </t>
        </is>
      </c>
      <c r="E333" s="66" t="inlineStr">
        <is>
          <t></t>
        </is>
      </c>
    </row>
    <row r="334" ht="28.5" customHeight="1" s="71">
      <c r="A334" s="68" t="n">
        <v>1035</v>
      </c>
      <c r="B334" s="68" t="inlineStr">
        <is>
          <t>`|~#</t>
        </is>
      </c>
      <c r="C334" s="68" t="inlineStr">
        <is>
          <t>`|||~</t>
        </is>
      </c>
      <c r="D334" s="66" t="inlineStr">
        <is>
          <t>  </t>
        </is>
      </c>
      <c r="E334" s="66" t="inlineStr">
        <is>
          <t> </t>
        </is>
      </c>
    </row>
    <row r="335" ht="28.5" customHeight="1" s="71">
      <c r="A335" s="68" t="n">
        <v>1036</v>
      </c>
      <c r="B335" s="68" t="inlineStr">
        <is>
          <t>~~|#</t>
        </is>
      </c>
      <c r="C335" s="68" t="inlineStr">
        <is>
          <t>~~|||</t>
        </is>
      </c>
      <c r="D335" s="66" t="inlineStr">
        <is>
          <t> </t>
        </is>
      </c>
      <c r="E335" s="66" t="inlineStr">
        <is>
          <t></t>
        </is>
      </c>
    </row>
    <row r="336" ht="28.5" customHeight="1" s="71">
      <c r="A336" s="68" t="n">
        <v>1037</v>
      </c>
      <c r="B336" s="68" t="inlineStr">
        <is>
          <t>`~~|#</t>
        </is>
      </c>
      <c r="C336" s="68" t="inlineStr">
        <is>
          <t>`~~|||</t>
        </is>
      </c>
      <c r="D336" s="66" t="inlineStr">
        <is>
          <t>  </t>
        </is>
      </c>
      <c r="E336" s="66" t="inlineStr">
        <is>
          <t> </t>
        </is>
      </c>
    </row>
    <row r="337" ht="28.5" customHeight="1" s="71">
      <c r="A337" s="68" t="n">
        <v>1038</v>
      </c>
      <c r="B337" s="68" t="inlineStr">
        <is>
          <t>``~~|#</t>
        </is>
      </c>
      <c r="C337" s="68" t="inlineStr">
        <is>
          <t>``~~|||</t>
        </is>
      </c>
      <c r="D337" s="66" t="inlineStr">
        <is>
          <t>  </t>
        </is>
      </c>
      <c r="E337" s="66" t="inlineStr">
        <is>
          <t> </t>
        </is>
      </c>
    </row>
    <row r="338" ht="28.5" customHeight="1" s="71">
      <c r="A338" s="68" t="n">
        <v>1039</v>
      </c>
      <c r="B338" s="68" t="inlineStr">
        <is>
          <t>,./|#</t>
        </is>
      </c>
      <c r="C338" s="68" t="inlineStr">
        <is>
          <t>,./|||</t>
        </is>
      </c>
      <c r="D338" s="66" t="inlineStr">
        <is>
          <t>   </t>
        </is>
      </c>
      <c r="E338" s="66" t="inlineStr">
        <is>
          <t>  </t>
        </is>
      </c>
    </row>
    <row r="339" ht="28.5" customHeight="1" s="71">
      <c r="A339" s="68" t="n">
        <v>1040</v>
      </c>
      <c r="B339" s="68" t="inlineStr">
        <is>
          <t>./|#</t>
        </is>
      </c>
      <c r="C339" s="68" t="inlineStr">
        <is>
          <t>./|||</t>
        </is>
      </c>
      <c r="D339" s="66" t="inlineStr">
        <is>
          <t>  </t>
        </is>
      </c>
      <c r="E339" s="66" t="inlineStr">
        <is>
          <t> </t>
        </is>
      </c>
    </row>
    <row r="340" ht="28.5" customHeight="1" s="71">
      <c r="A340" s="68" t="n">
        <v>1041</v>
      </c>
      <c r="B340" s="68" t="inlineStr">
        <is>
          <t>)|~#</t>
        </is>
      </c>
      <c r="C340" s="68" t="inlineStr">
        <is>
          <t>)|||~</t>
        </is>
      </c>
      <c r="D340" s="66" t="inlineStr">
        <is>
          <t> </t>
        </is>
      </c>
      <c r="E340" s="66" t="inlineStr">
        <is>
          <t></t>
        </is>
      </c>
    </row>
    <row r="341" ht="28.5" customHeight="1" s="71">
      <c r="A341" s="68" t="n">
        <v>1042</v>
      </c>
      <c r="B341" s="68" t="inlineStr">
        <is>
          <t>,,/|#</t>
        </is>
      </c>
      <c r="C341" s="68" t="inlineStr">
        <is>
          <t>,,/|||</t>
        </is>
      </c>
      <c r="D341" s="66" t="inlineStr">
        <is>
          <t>  </t>
        </is>
      </c>
      <c r="E341" s="66" t="inlineStr">
        <is>
          <t> </t>
        </is>
      </c>
    </row>
    <row r="342" ht="28.5" customHeight="1" s="71">
      <c r="A342" s="68" t="n">
        <v>1043</v>
      </c>
      <c r="B342" s="68" t="inlineStr">
        <is>
          <t>,/|#</t>
        </is>
      </c>
      <c r="C342" s="68" t="inlineStr">
        <is>
          <t>,/|||</t>
        </is>
      </c>
      <c r="D342" s="66" t="inlineStr">
        <is>
          <t>  </t>
        </is>
      </c>
      <c r="E342" s="66" t="inlineStr">
        <is>
          <t> </t>
        </is>
      </c>
    </row>
    <row r="343" ht="28.5" customHeight="1" s="71">
      <c r="A343" s="68" t="n">
        <v>1044</v>
      </c>
      <c r="B343" s="68" t="inlineStr">
        <is>
          <t>/|#</t>
        </is>
      </c>
      <c r="C343" s="68" t="inlineStr">
        <is>
          <t>/|||</t>
        </is>
      </c>
      <c r="D343" s="66" t="inlineStr">
        <is>
          <t> </t>
        </is>
      </c>
      <c r="E343" s="66" t="inlineStr">
        <is>
          <t></t>
        </is>
      </c>
    </row>
    <row r="344" ht="28.5" customHeight="1" s="71">
      <c r="A344" s="68" t="n">
        <v>1045</v>
      </c>
      <c r="B344" s="68" t="inlineStr">
        <is>
          <t>`/|#</t>
        </is>
      </c>
      <c r="C344" s="68" t="inlineStr">
        <is>
          <t>`/|||</t>
        </is>
      </c>
      <c r="D344" s="66" t="inlineStr">
        <is>
          <t>  </t>
        </is>
      </c>
      <c r="E344" s="66" t="inlineStr">
        <is>
          <t> </t>
        </is>
      </c>
    </row>
    <row r="345" ht="28.5" customHeight="1" s="71">
      <c r="A345" s="68" t="n">
        <v>1046</v>
      </c>
      <c r="B345" s="68" t="inlineStr">
        <is>
          <t>``/|#</t>
        </is>
      </c>
      <c r="C345" s="68" t="inlineStr">
        <is>
          <t>``/|||</t>
        </is>
      </c>
      <c r="D345" s="66" t="inlineStr">
        <is>
          <t>  </t>
        </is>
      </c>
      <c r="E345" s="66" t="inlineStr">
        <is>
          <t> </t>
        </is>
      </c>
    </row>
    <row r="346" ht="28.5" customHeight="1" s="71">
      <c r="A346" s="68" t="n">
        <v>1047</v>
      </c>
      <c r="B346" s="68" t="inlineStr">
        <is>
          <t>.)/|#</t>
        </is>
      </c>
      <c r="C346" s="68" t="inlineStr">
        <is>
          <t>.)/|||</t>
        </is>
      </c>
      <c r="D346" s="66" t="inlineStr">
        <is>
          <t>  </t>
        </is>
      </c>
      <c r="E346" s="66" t="inlineStr">
        <is>
          <t> </t>
        </is>
      </c>
    </row>
    <row r="347" ht="28.5" customHeight="1" s="71">
      <c r="A347" s="68" t="n">
        <v>1048</v>
      </c>
      <c r="B347" s="68" t="inlineStr">
        <is>
          <t>'/|#</t>
        </is>
      </c>
      <c r="C347" s="68" t="inlineStr">
        <is>
          <t>'/|||</t>
        </is>
      </c>
      <c r="D347" s="66" t="inlineStr">
        <is>
          <t>  </t>
        </is>
      </c>
      <c r="E347" s="66" t="inlineStr">
        <is>
          <t> </t>
        </is>
      </c>
    </row>
    <row r="348" ht="28.5" customHeight="1" s="71">
      <c r="A348" s="68" t="n">
        <v>1049</v>
      </c>
      <c r="B348" s="68" t="inlineStr">
        <is>
          <t>`'/|#</t>
        </is>
      </c>
      <c r="C348" s="68" t="inlineStr">
        <is>
          <t>`'/|||</t>
        </is>
      </c>
      <c r="D348" s="66" t="inlineStr">
        <is>
          <t>   </t>
        </is>
      </c>
      <c r="E348" s="66" t="inlineStr">
        <is>
          <t>  </t>
        </is>
      </c>
    </row>
    <row r="349" ht="28.5" customHeight="1" s="71">
      <c r="A349" s="68" t="n">
        <v>1050</v>
      </c>
      <c r="B349" s="68" t="inlineStr">
        <is>
          <t>,,)/|#</t>
        </is>
      </c>
      <c r="C349" s="68" t="inlineStr">
        <is>
          <t>,,)/|||</t>
        </is>
      </c>
      <c r="D349" s="66" t="inlineStr">
        <is>
          <t>  </t>
        </is>
      </c>
      <c r="E349" s="66" t="inlineStr">
        <is>
          <t> </t>
        </is>
      </c>
    </row>
    <row r="350" ht="28.5" customHeight="1" s="71">
      <c r="A350" s="68" t="n">
        <v>1051</v>
      </c>
      <c r="B350" s="68" t="inlineStr">
        <is>
          <t>,)/|#</t>
        </is>
      </c>
      <c r="C350" s="68" t="inlineStr">
        <is>
          <t>,)/|||</t>
        </is>
      </c>
      <c r="D350" s="66" t="inlineStr">
        <is>
          <t>  </t>
        </is>
      </c>
      <c r="E350" s="66" t="inlineStr">
        <is>
          <t> </t>
        </is>
      </c>
    </row>
    <row r="351" ht="28.5" customHeight="1" s="71">
      <c r="A351" s="68" t="n">
        <v>1052</v>
      </c>
      <c r="B351" s="68" t="inlineStr">
        <is>
          <t>)/|#</t>
        </is>
      </c>
      <c r="C351" s="68" t="inlineStr">
        <is>
          <t>)/|||</t>
        </is>
      </c>
      <c r="D351" s="66" t="inlineStr">
        <is>
          <t> </t>
        </is>
      </c>
      <c r="E351" s="66" t="inlineStr">
        <is>
          <t></t>
        </is>
      </c>
    </row>
    <row r="352" ht="28.5" customHeight="1" s="71">
      <c r="A352" s="68" t="n">
        <v>1053</v>
      </c>
      <c r="B352" s="68" t="inlineStr">
        <is>
          <t>,.|)#</t>
        </is>
      </c>
      <c r="C352" s="68" t="inlineStr">
        <is>
          <t>,.|||)</t>
        </is>
      </c>
      <c r="D352" s="66" t="inlineStr">
        <is>
          <t>   </t>
        </is>
      </c>
      <c r="E352" s="66" t="inlineStr">
        <is>
          <t>  </t>
        </is>
      </c>
    </row>
    <row r="353" ht="28.5" customHeight="1" s="71">
      <c r="A353" s="68" t="n">
        <v>1054</v>
      </c>
      <c r="B353" s="68" t="inlineStr">
        <is>
          <t>.|)#</t>
        </is>
      </c>
      <c r="C353" s="68" t="inlineStr">
        <is>
          <t>.|||)</t>
        </is>
      </c>
      <c r="D353" s="66" t="inlineStr">
        <is>
          <t>  </t>
        </is>
      </c>
      <c r="E353" s="66" t="inlineStr">
        <is>
          <t> </t>
        </is>
      </c>
    </row>
    <row r="354" ht="28.5" customHeight="1" s="71">
      <c r="A354" s="68" t="n">
        <v>1055</v>
      </c>
      <c r="B354" s="68" t="inlineStr">
        <is>
          <t>`.|)#</t>
        </is>
      </c>
      <c r="C354" s="68" t="inlineStr">
        <is>
          <t>`.|||)</t>
        </is>
      </c>
      <c r="D354" s="66" t="inlineStr">
        <is>
          <t>   </t>
        </is>
      </c>
      <c r="E354" s="66" t="inlineStr">
        <is>
          <t>  </t>
        </is>
      </c>
    </row>
    <row r="355" ht="28.5" customHeight="1" s="71">
      <c r="A355" s="68" t="n">
        <v>1056</v>
      </c>
      <c r="B355" s="68" t="inlineStr">
        <is>
          <t>,,|)#</t>
        </is>
      </c>
      <c r="C355" s="68" t="inlineStr">
        <is>
          <t>,,|||)</t>
        </is>
      </c>
      <c r="D355" s="66" t="inlineStr">
        <is>
          <t>  </t>
        </is>
      </c>
      <c r="E355" s="66" t="inlineStr">
        <is>
          <t> </t>
        </is>
      </c>
    </row>
    <row r="356" ht="28.5" customHeight="1" s="71">
      <c r="A356" s="68" t="n">
        <v>1057</v>
      </c>
      <c r="B356" s="68" t="inlineStr">
        <is>
          <t>,|)#</t>
        </is>
      </c>
      <c r="C356" s="68" t="inlineStr">
        <is>
          <t>,|||)</t>
        </is>
      </c>
      <c r="D356" s="66" t="inlineStr">
        <is>
          <t>  </t>
        </is>
      </c>
      <c r="E356" s="66" t="inlineStr">
        <is>
          <t> </t>
        </is>
      </c>
    </row>
    <row r="357" ht="28.5" customHeight="1" s="71">
      <c r="A357" s="68" t="n">
        <v>1058</v>
      </c>
      <c r="B357" s="68" t="inlineStr">
        <is>
          <t>|)#</t>
        </is>
      </c>
      <c r="C357" s="68" t="inlineStr">
        <is>
          <t>|||)</t>
        </is>
      </c>
      <c r="D357" s="66" t="inlineStr">
        <is>
          <t> </t>
        </is>
      </c>
      <c r="E357" s="66" t="inlineStr">
        <is>
          <t></t>
        </is>
      </c>
    </row>
    <row r="358" ht="28.5" customHeight="1" s="71">
      <c r="A358" s="68" t="n">
        <v>1059</v>
      </c>
      <c r="B358" s="68" t="inlineStr">
        <is>
          <t>`|)#</t>
        </is>
      </c>
      <c r="C358" s="68" t="inlineStr">
        <is>
          <t>`|||)</t>
        </is>
      </c>
      <c r="D358" s="66" t="inlineStr">
        <is>
          <t>  </t>
        </is>
      </c>
      <c r="E358" s="66" t="inlineStr">
        <is>
          <t> </t>
        </is>
      </c>
    </row>
    <row r="359" ht="28.5" customHeight="1" s="71">
      <c r="A359" s="68" t="n">
        <v>1060</v>
      </c>
      <c r="B359" s="68" t="inlineStr">
        <is>
          <t>``|)#</t>
        </is>
      </c>
      <c r="C359" s="68" t="inlineStr">
        <is>
          <t>``|||)</t>
        </is>
      </c>
      <c r="D359" s="66" t="inlineStr">
        <is>
          <t>  </t>
        </is>
      </c>
      <c r="E359" s="66" t="inlineStr">
        <is>
          <t> </t>
        </is>
      </c>
    </row>
    <row r="360" ht="28.5" customHeight="1" s="71">
      <c r="A360" s="68" t="n">
        <v>1061</v>
      </c>
      <c r="B360" s="68" t="inlineStr">
        <is>
          <t>,'|)#</t>
        </is>
      </c>
      <c r="C360" s="68" t="inlineStr">
        <is>
          <t>,'|||)</t>
        </is>
      </c>
      <c r="D360" s="66" t="inlineStr">
        <is>
          <t>   </t>
        </is>
      </c>
      <c r="E360" s="66" t="inlineStr">
        <is>
          <t>  </t>
        </is>
      </c>
    </row>
    <row r="361" ht="28.5" customHeight="1" s="71">
      <c r="A361" s="68" t="n">
        <v>1062</v>
      </c>
      <c r="B361" s="68" t="inlineStr">
        <is>
          <t>'|)#</t>
        </is>
      </c>
      <c r="C361" s="68" t="inlineStr">
        <is>
          <t>'|||)</t>
        </is>
      </c>
      <c r="D361" s="66" t="inlineStr">
        <is>
          <t>  </t>
        </is>
      </c>
      <c r="E361" s="66" t="inlineStr">
        <is>
          <t> </t>
        </is>
      </c>
    </row>
    <row r="362" ht="28.5" customHeight="1" s="71">
      <c r="A362" s="68" t="n">
        <v>1063</v>
      </c>
      <c r="B362" s="68" t="inlineStr">
        <is>
          <t>`'|)#</t>
        </is>
      </c>
      <c r="C362" s="68" t="inlineStr">
        <is>
          <t>`'|||)</t>
        </is>
      </c>
      <c r="D362" s="66" t="inlineStr">
        <is>
          <t>   </t>
        </is>
      </c>
      <c r="E362" s="66" t="inlineStr">
        <is>
          <t>  </t>
        </is>
      </c>
    </row>
    <row r="363" ht="28.5" customHeight="1" s="71">
      <c r="A363" s="68" t="n">
        <v>1064</v>
      </c>
      <c r="B363" s="68" t="inlineStr">
        <is>
          <t>,)|)#</t>
        </is>
      </c>
      <c r="C363" s="68" t="inlineStr">
        <is>
          <t>,)|||)</t>
        </is>
      </c>
      <c r="D363" s="66" t="inlineStr">
        <is>
          <t>  </t>
        </is>
      </c>
      <c r="E363" s="66" t="inlineStr">
        <is>
          <t> </t>
        </is>
      </c>
    </row>
    <row r="364" ht="28.5" customHeight="1" s="71">
      <c r="A364" s="68" t="n">
        <v>1065</v>
      </c>
      <c r="B364" s="68" t="inlineStr">
        <is>
          <t>)|)#</t>
        </is>
      </c>
      <c r="C364" s="68" t="inlineStr">
        <is>
          <t>)|||)</t>
        </is>
      </c>
      <c r="D364" s="66" t="inlineStr">
        <is>
          <t> </t>
        </is>
      </c>
      <c r="E364" s="66" t="inlineStr">
        <is>
          <t></t>
        </is>
      </c>
    </row>
    <row r="365" ht="28.5" customHeight="1" s="71">
      <c r="A365" s="68" t="n">
        <v>1066</v>
      </c>
      <c r="B365" s="68" t="inlineStr">
        <is>
          <t>.(|#</t>
        </is>
      </c>
      <c r="C365" s="68" t="inlineStr">
        <is>
          <t>.(|||</t>
        </is>
      </c>
      <c r="D365" s="66" t="inlineStr">
        <is>
          <t>  </t>
        </is>
      </c>
      <c r="E365" s="66" t="inlineStr">
        <is>
          <t> </t>
        </is>
      </c>
    </row>
    <row r="366" ht="28.5" customHeight="1" s="71">
      <c r="A366" s="68" t="n">
        <v>1067</v>
      </c>
      <c r="B366" s="68" t="inlineStr">
        <is>
          <t>|\#</t>
        </is>
      </c>
      <c r="C366" s="68" t="inlineStr">
        <is>
          <t>|||\</t>
        </is>
      </c>
      <c r="D366" s="66" t="inlineStr">
        <is>
          <t> </t>
        </is>
      </c>
      <c r="E366" s="66" t="inlineStr">
        <is>
          <t></t>
        </is>
      </c>
    </row>
    <row r="367" ht="28.5" customHeight="1" s="71">
      <c r="A367" s="68" t="n">
        <v>1068</v>
      </c>
      <c r="B367" s="68" t="inlineStr">
        <is>
          <t>`|\#</t>
        </is>
      </c>
      <c r="C367" s="68" t="inlineStr">
        <is>
          <t>`|||\</t>
        </is>
      </c>
      <c r="D367" s="66" t="inlineStr">
        <is>
          <t>  </t>
        </is>
      </c>
      <c r="E367" s="66" t="inlineStr">
        <is>
          <t> </t>
        </is>
      </c>
    </row>
    <row r="368" ht="28.5" customHeight="1" s="71">
      <c r="A368" s="68" t="n">
        <v>1069</v>
      </c>
      <c r="B368" s="68" t="inlineStr">
        <is>
          <t>,(|#</t>
        </is>
      </c>
      <c r="C368" s="68" t="inlineStr">
        <is>
          <t>,(|||</t>
        </is>
      </c>
      <c r="D368" s="66" t="inlineStr">
        <is>
          <t>  </t>
        </is>
      </c>
      <c r="E368" s="66" t="inlineStr">
        <is>
          <t> </t>
        </is>
      </c>
    </row>
    <row r="369" ht="28.5" customHeight="1" s="71">
      <c r="A369" s="68" t="n">
        <v>1070</v>
      </c>
      <c r="B369" s="68" t="inlineStr">
        <is>
          <t>(|#</t>
        </is>
      </c>
      <c r="C369" s="68" t="inlineStr">
        <is>
          <t>(|||</t>
        </is>
      </c>
      <c r="D369" s="66" t="inlineStr">
        <is>
          <t> </t>
        </is>
      </c>
      <c r="E369" s="66" t="inlineStr">
        <is>
          <t></t>
        </is>
      </c>
    </row>
    <row r="370" ht="28.5" customHeight="1" s="71">
      <c r="A370" s="68" t="n">
        <v>1071</v>
      </c>
      <c r="B370" s="68" t="inlineStr">
        <is>
          <t>`(|#</t>
        </is>
      </c>
      <c r="C370" s="68" t="inlineStr">
        <is>
          <t>`(|||</t>
        </is>
      </c>
      <c r="D370" s="66" t="inlineStr">
        <is>
          <t>  </t>
        </is>
      </c>
      <c r="E370" s="66" t="inlineStr">
        <is>
          <t> </t>
        </is>
      </c>
    </row>
    <row r="371" ht="28.5" customHeight="1" s="71">
      <c r="A371" s="68" t="n">
        <v>1072</v>
      </c>
      <c r="B371" s="68" t="inlineStr">
        <is>
          <t>``(|#</t>
        </is>
      </c>
      <c r="C371" s="68" t="inlineStr">
        <is>
          <t>``(|||</t>
        </is>
      </c>
      <c r="D371" s="66" t="inlineStr">
        <is>
          <t>  </t>
        </is>
      </c>
      <c r="E371" s="66" t="inlineStr">
        <is>
          <t> </t>
        </is>
      </c>
    </row>
    <row r="372" ht="28.5" customHeight="1" s="71">
      <c r="A372" s="68" t="n">
        <v>1073</v>
      </c>
      <c r="B372" s="68" t="inlineStr">
        <is>
          <t>,'(|#</t>
        </is>
      </c>
      <c r="C372" s="68" t="inlineStr">
        <is>
          <t>,'(|||</t>
        </is>
      </c>
      <c r="D372" s="66" t="inlineStr">
        <is>
          <t>   </t>
        </is>
      </c>
      <c r="E372" s="66" t="inlineStr">
        <is>
          <t>  </t>
        </is>
      </c>
    </row>
    <row r="373" ht="28.5" customHeight="1" s="71">
      <c r="A373" s="68" t="n">
        <v>1074</v>
      </c>
      <c r="B373" s="68" t="inlineStr">
        <is>
          <t>'(|#</t>
        </is>
      </c>
      <c r="C373" s="68" t="inlineStr">
        <is>
          <t>'(|||</t>
        </is>
      </c>
      <c r="D373" s="66" t="inlineStr">
        <is>
          <t>  </t>
        </is>
      </c>
      <c r="E373" s="66" t="inlineStr">
        <is>
          <t> </t>
        </is>
      </c>
    </row>
    <row r="374" ht="28.5" customHeight="1" s="71">
      <c r="A374" s="68" t="n">
        <v>1075</v>
      </c>
      <c r="B374" s="68" t="inlineStr">
        <is>
          <t>,~|)#</t>
        </is>
      </c>
      <c r="C374" s="68" t="inlineStr">
        <is>
          <t>,~|||)</t>
        </is>
      </c>
      <c r="D374" s="66" t="inlineStr">
        <is>
          <t>  </t>
        </is>
      </c>
      <c r="E374" s="66" t="inlineStr">
        <is>
          <t> </t>
        </is>
      </c>
    </row>
    <row r="375" ht="28.5" customHeight="1" s="71">
      <c r="A375" s="68" t="n">
        <v>1076</v>
      </c>
      <c r="B375" s="68" t="inlineStr">
        <is>
          <t>~|)#</t>
        </is>
      </c>
      <c r="C375" s="68" t="inlineStr">
        <is>
          <t>~|||)</t>
        </is>
      </c>
      <c r="D375" s="66" t="inlineStr">
        <is>
          <t> </t>
        </is>
      </c>
      <c r="E375" s="66" t="inlineStr">
        <is>
          <t></t>
        </is>
      </c>
    </row>
    <row r="376" ht="28.5" customHeight="1" s="71">
      <c r="A376" s="68" t="n">
        <v>1077</v>
      </c>
      <c r="B376" s="68" t="inlineStr">
        <is>
          <t>`~|)#</t>
        </is>
      </c>
      <c r="C376" s="68" t="inlineStr">
        <is>
          <t>`~|||)</t>
        </is>
      </c>
      <c r="D376" s="66" t="inlineStr">
        <is>
          <t>  </t>
        </is>
      </c>
      <c r="E376" s="66" t="inlineStr">
        <is>
          <t> </t>
        </is>
      </c>
    </row>
    <row r="377" ht="28.5" customHeight="1" s="71">
      <c r="A377" s="68" t="n">
        <v>1078</v>
      </c>
      <c r="B377" s="68" t="inlineStr">
        <is>
          <t>,.(|(#</t>
        </is>
      </c>
      <c r="C377" s="68" t="inlineStr">
        <is>
          <t>,.(|||(</t>
        </is>
      </c>
      <c r="D377" s="66" t="inlineStr">
        <is>
          <t>   </t>
        </is>
      </c>
      <c r="E377" s="66" t="inlineStr">
        <is>
          <t>  </t>
        </is>
      </c>
    </row>
    <row r="378" ht="28.5" customHeight="1" s="71">
      <c r="A378" s="68" t="n">
        <v>1079</v>
      </c>
      <c r="B378" s="68" t="inlineStr">
        <is>
          <t>.(|(#</t>
        </is>
      </c>
      <c r="C378" s="68" t="inlineStr">
        <is>
          <t>.(|||(</t>
        </is>
      </c>
      <c r="D378" s="66" t="inlineStr">
        <is>
          <t>  </t>
        </is>
      </c>
      <c r="E378" s="66" t="inlineStr">
        <is>
          <t> </t>
        </is>
      </c>
    </row>
    <row r="379" ht="28.5" customHeight="1" s="71">
      <c r="A379" s="68" t="n">
        <v>1080</v>
      </c>
      <c r="B379" s="68" t="inlineStr">
        <is>
          <t>'~|)#</t>
        </is>
      </c>
      <c r="C379" s="68" t="inlineStr">
        <is>
          <t>'~|||)</t>
        </is>
      </c>
      <c r="D379" s="66" t="inlineStr">
        <is>
          <t>  </t>
        </is>
      </c>
      <c r="E379" s="66" t="inlineStr">
        <is>
          <t> </t>
        </is>
      </c>
    </row>
    <row r="380" ht="28.5" customHeight="1" s="71">
      <c r="A380" s="68" t="n">
        <v>1081</v>
      </c>
      <c r="B380" s="68" t="inlineStr">
        <is>
          <t>/|~#</t>
        </is>
      </c>
      <c r="C380" s="68" t="inlineStr">
        <is>
          <t>/|||~</t>
        </is>
      </c>
      <c r="D380" s="66" t="inlineStr">
        <is>
          <t> </t>
        </is>
      </c>
      <c r="E380" s="66" t="inlineStr">
        <is>
          <t></t>
        </is>
      </c>
    </row>
    <row r="381" ht="28.5" customHeight="1" s="71">
      <c r="A381" s="68" t="n">
        <v>1082</v>
      </c>
      <c r="B381" s="68" t="inlineStr">
        <is>
          <t>,,(|(#</t>
        </is>
      </c>
      <c r="C381" s="68" t="inlineStr">
        <is>
          <t>,,(|||(</t>
        </is>
      </c>
      <c r="D381" s="66" t="inlineStr">
        <is>
          <t>  </t>
        </is>
      </c>
      <c r="E381" s="66" t="inlineStr">
        <is>
          <t> </t>
        </is>
      </c>
    </row>
    <row r="382" ht="28.5" customHeight="1" s="71">
      <c r="A382" s="68" t="n">
        <v>1083</v>
      </c>
      <c r="B382" s="68" t="inlineStr">
        <is>
          <t>,(|(#</t>
        </is>
      </c>
      <c r="C382" s="68" t="inlineStr">
        <is>
          <t>,(|||(</t>
        </is>
      </c>
      <c r="D382" s="66" t="inlineStr">
        <is>
          <t>  </t>
        </is>
      </c>
      <c r="E382" s="66" t="inlineStr">
        <is>
          <t> </t>
        </is>
      </c>
    </row>
    <row r="383" ht="28.5" customHeight="1" s="71">
      <c r="A383" s="68" t="n">
        <v>1084</v>
      </c>
      <c r="B383" s="68" t="inlineStr">
        <is>
          <t>(|(#</t>
        </is>
      </c>
      <c r="C383" s="68" t="inlineStr">
        <is>
          <t>(|||(</t>
        </is>
      </c>
      <c r="D383" s="66" t="inlineStr">
        <is>
          <t> </t>
        </is>
      </c>
      <c r="E383" s="66" t="inlineStr">
        <is>
          <t></t>
        </is>
      </c>
    </row>
    <row r="384" ht="28.5" customHeight="1" s="71">
      <c r="A384" s="68" t="n">
        <v>1085</v>
      </c>
      <c r="B384" s="68" t="inlineStr">
        <is>
          <t>`(|(#</t>
        </is>
      </c>
      <c r="C384" s="68" t="inlineStr">
        <is>
          <t>`(|||(</t>
        </is>
      </c>
      <c r="D384" s="66" t="inlineStr">
        <is>
          <t>  </t>
        </is>
      </c>
      <c r="E384" s="66" t="inlineStr">
        <is>
          <t> </t>
        </is>
      </c>
    </row>
    <row r="385" ht="28.5" customHeight="1" s="71">
      <c r="A385" s="68" t="n">
        <v>1086</v>
      </c>
      <c r="B385" s="68" t="inlineStr">
        <is>
          <t>~|\#</t>
        </is>
      </c>
      <c r="C385" s="68" t="inlineStr">
        <is>
          <t>~|||\</t>
        </is>
      </c>
      <c r="D385" s="66" t="inlineStr">
        <is>
          <t> </t>
        </is>
      </c>
      <c r="E385" s="66" t="inlineStr">
        <is>
          <t></t>
        </is>
      </c>
    </row>
    <row r="386" ht="28.5" customHeight="1" s="71">
      <c r="A386" s="68" t="n">
        <v>1087</v>
      </c>
      <c r="B386" s="68" t="inlineStr">
        <is>
          <t>,.//|#</t>
        </is>
      </c>
      <c r="C386" s="68" t="inlineStr">
        <is>
          <t>,.//|||</t>
        </is>
      </c>
      <c r="D386" s="66" t="inlineStr">
        <is>
          <t>   </t>
        </is>
      </c>
      <c r="E386" s="66" t="inlineStr">
        <is>
          <t>  </t>
        </is>
      </c>
    </row>
    <row r="387" ht="28.5" customHeight="1" s="71">
      <c r="A387" s="68" t="n">
        <v>1088</v>
      </c>
      <c r="B387" s="68" t="inlineStr">
        <is>
          <t>.//|#</t>
        </is>
      </c>
      <c r="C387" s="68" t="inlineStr">
        <is>
          <t>.//|||</t>
        </is>
      </c>
      <c r="D387" s="66" t="inlineStr">
        <is>
          <t>  </t>
        </is>
      </c>
      <c r="E387" s="66" t="inlineStr">
        <is>
          <t> </t>
        </is>
      </c>
    </row>
    <row r="388" ht="28.5" customHeight="1" s="71">
      <c r="A388" s="68" t="n">
        <v>1089</v>
      </c>
      <c r="B388" s="68" t="inlineStr">
        <is>
          <t>`.//|#</t>
        </is>
      </c>
      <c r="C388" s="68" t="inlineStr">
        <is>
          <t>`.//|||</t>
        </is>
      </c>
      <c r="D388" s="66" t="inlineStr">
        <is>
          <t>   </t>
        </is>
      </c>
      <c r="E388" s="66" t="inlineStr">
        <is>
          <t>  </t>
        </is>
      </c>
    </row>
    <row r="389" ht="28.5" customHeight="1" s="71">
      <c r="A389" s="68" t="n">
        <v>1090</v>
      </c>
      <c r="B389" s="68" t="inlineStr">
        <is>
          <t>,,//|#</t>
        </is>
      </c>
      <c r="C389" s="68" t="inlineStr">
        <is>
          <t>,,//|||</t>
        </is>
      </c>
      <c r="D389" s="69" t="inlineStr">
        <is>
          <t>  </t>
        </is>
      </c>
      <c r="E389" s="66" t="inlineStr">
        <is>
          <t> </t>
        </is>
      </c>
    </row>
    <row r="390" ht="28.5" customHeight="1" s="71">
      <c r="A390" s="68" t="n">
        <v>1091</v>
      </c>
      <c r="B390" s="68" t="inlineStr">
        <is>
          <t>,//|#</t>
        </is>
      </c>
      <c r="C390" s="68" t="inlineStr">
        <is>
          <t>,//|||</t>
        </is>
      </c>
      <c r="D390" s="66" t="inlineStr">
        <is>
          <t>  </t>
        </is>
      </c>
      <c r="E390" s="66" t="inlineStr">
        <is>
          <t> </t>
        </is>
      </c>
    </row>
    <row r="391" ht="28.5" customHeight="1" s="71">
      <c r="A391" s="68" t="n">
        <v>1092</v>
      </c>
      <c r="B391" s="68" t="inlineStr">
        <is>
          <t>//|#</t>
        </is>
      </c>
      <c r="C391" s="68" t="inlineStr">
        <is>
          <t>//|||</t>
        </is>
      </c>
      <c r="D391" s="66" t="inlineStr">
        <is>
          <t> </t>
        </is>
      </c>
      <c r="E391" s="66" t="inlineStr">
        <is>
          <t></t>
        </is>
      </c>
    </row>
    <row r="392" ht="28.5" customHeight="1" s="71">
      <c r="A392" s="68" t="n">
        <v>1093</v>
      </c>
      <c r="B392" s="68" t="inlineStr">
        <is>
          <t>`//|#</t>
        </is>
      </c>
      <c r="C392" s="68" t="inlineStr">
        <is>
          <t>`//|||</t>
        </is>
      </c>
      <c r="D392" s="66" t="inlineStr">
        <is>
          <t>  </t>
        </is>
      </c>
      <c r="E392" s="66" t="inlineStr">
        <is>
          <t> </t>
        </is>
      </c>
    </row>
    <row r="393" ht="28.5" customHeight="1" s="71">
      <c r="A393" s="68" t="n">
        <v>1094</v>
      </c>
      <c r="B393" s="68" t="inlineStr">
        <is>
          <t>``//|#</t>
        </is>
      </c>
      <c r="C393" s="68" t="inlineStr">
        <is>
          <t>``//|||</t>
        </is>
      </c>
      <c r="D393" s="66" t="inlineStr">
        <is>
          <t>  </t>
        </is>
      </c>
      <c r="E393" s="66" t="inlineStr">
        <is>
          <t> </t>
        </is>
      </c>
    </row>
    <row r="394" ht="28.5" customHeight="1" s="71">
      <c r="A394" s="68" t="n">
        <v>1095</v>
      </c>
      <c r="B394" s="68" t="inlineStr">
        <is>
          <t>,'//|#</t>
        </is>
      </c>
      <c r="C394" s="68" t="inlineStr">
        <is>
          <t>,'//|||</t>
        </is>
      </c>
      <c r="D394" s="66" t="inlineStr">
        <is>
          <t>   </t>
        </is>
      </c>
      <c r="E394" s="66" t="inlineStr">
        <is>
          <t>  </t>
        </is>
      </c>
    </row>
    <row r="395" ht="28.5" customHeight="1" s="71">
      <c r="A395" s="68" t="n">
        <v>1096</v>
      </c>
      <c r="B395" s="68" t="inlineStr">
        <is>
          <t>'//|#</t>
        </is>
      </c>
      <c r="C395" s="68" t="inlineStr">
        <is>
          <t>'//|||</t>
        </is>
      </c>
      <c r="D395" s="66" t="inlineStr">
        <is>
          <t>  </t>
        </is>
      </c>
      <c r="E395" s="66" t="inlineStr">
        <is>
          <t> </t>
        </is>
      </c>
    </row>
    <row r="396" ht="28.5" customHeight="1" s="71">
      <c r="A396" s="68" t="n">
        <v>1097</v>
      </c>
      <c r="B396" s="68" t="inlineStr">
        <is>
          <t>,,)//|#</t>
        </is>
      </c>
      <c r="C396" s="68" t="inlineStr">
        <is>
          <t>,,)//|||</t>
        </is>
      </c>
      <c r="D396" s="69" t="inlineStr">
        <is>
          <t>  </t>
        </is>
      </c>
      <c r="E396" s="69" t="inlineStr">
        <is>
          <t> </t>
        </is>
      </c>
    </row>
    <row r="397" ht="28.5" customHeight="1" s="71">
      <c r="A397" s="68" t="n">
        <v>1098</v>
      </c>
      <c r="B397" s="68" t="inlineStr">
        <is>
          <t>,)//|#</t>
        </is>
      </c>
      <c r="C397" s="68" t="inlineStr">
        <is>
          <t>,)//|||</t>
        </is>
      </c>
      <c r="D397" s="66" t="inlineStr">
        <is>
          <t>  </t>
        </is>
      </c>
      <c r="E397" s="66" t="inlineStr">
        <is>
          <t> </t>
        </is>
      </c>
    </row>
    <row r="398" ht="28.5" customHeight="1" s="71">
      <c r="A398" s="68" t="n">
        <v>1099</v>
      </c>
      <c r="B398" s="68" t="inlineStr">
        <is>
          <t>)//|#</t>
        </is>
      </c>
      <c r="C398" s="68" t="inlineStr">
        <is>
          <t>)//|||</t>
        </is>
      </c>
      <c r="D398" s="66" t="inlineStr">
        <is>
          <t> </t>
        </is>
      </c>
      <c r="E398" s="66" t="inlineStr">
        <is>
          <t></t>
        </is>
      </c>
    </row>
    <row r="399" ht="28.5" customHeight="1" s="71">
      <c r="A399" s="68" t="n">
        <v>1100</v>
      </c>
      <c r="B399" s="68" t="inlineStr">
        <is>
          <t>`)//|#</t>
        </is>
      </c>
      <c r="C399" s="68" t="inlineStr">
        <is>
          <t>`)//|||</t>
        </is>
      </c>
      <c r="D399" s="66" t="inlineStr">
        <is>
          <t>  </t>
        </is>
      </c>
      <c r="E399" s="66" t="inlineStr">
        <is>
          <t> </t>
        </is>
      </c>
    </row>
    <row r="400" ht="28.5" customHeight="1" s="71">
      <c r="A400" s="68" t="n">
        <v>1101</v>
      </c>
      <c r="B400" s="68" t="inlineStr">
        <is>
          <t>``)//|#</t>
        </is>
      </c>
      <c r="C400" s="68" t="inlineStr">
        <is>
          <t>``)//|||</t>
        </is>
      </c>
      <c r="D400" s="66" t="inlineStr">
        <is>
          <t>  </t>
        </is>
      </c>
      <c r="E400" s="66" t="inlineStr">
        <is>
          <t> </t>
        </is>
      </c>
    </row>
    <row r="401" ht="28.5" customHeight="1" s="71">
      <c r="A401" s="68" t="n">
        <v>1102</v>
      </c>
      <c r="B401" s="68" t="inlineStr">
        <is>
          <t>,,/|)#</t>
        </is>
      </c>
      <c r="C401" s="68" t="inlineStr">
        <is>
          <t>,,/|||)</t>
        </is>
      </c>
      <c r="D401" s="66" t="inlineStr">
        <is>
          <t>  </t>
        </is>
      </c>
      <c r="E401" s="66" t="inlineStr">
        <is>
          <t> </t>
        </is>
      </c>
    </row>
    <row r="402" ht="28.5" customHeight="1" s="71">
      <c r="A402" s="68" t="n">
        <v>1103</v>
      </c>
      <c r="B402" s="68" t="inlineStr">
        <is>
          <t>,/|)#</t>
        </is>
      </c>
      <c r="C402" s="68" t="inlineStr">
        <is>
          <t>,/|||)</t>
        </is>
      </c>
      <c r="D402" s="66" t="inlineStr">
        <is>
          <t>  </t>
        </is>
      </c>
      <c r="E402" s="66" t="inlineStr">
        <is>
          <t> </t>
        </is>
      </c>
    </row>
    <row r="403" ht="28.5" customHeight="1" s="71">
      <c r="A403" s="68" t="n">
        <v>1104</v>
      </c>
      <c r="B403" s="68" t="inlineStr">
        <is>
          <t>/|)#</t>
        </is>
      </c>
      <c r="C403" s="68" t="inlineStr">
        <is>
          <t>/|||)</t>
        </is>
      </c>
      <c r="D403" s="66" t="inlineStr">
        <is>
          <t> </t>
        </is>
      </c>
      <c r="E403" s="66" t="inlineStr">
        <is>
          <t></t>
        </is>
      </c>
    </row>
    <row r="404" ht="28.5" customHeight="1" s="71">
      <c r="A404" s="68" t="n">
        <v>1105</v>
      </c>
      <c r="B404" s="68" t="inlineStr">
        <is>
          <t>`/|)#</t>
        </is>
      </c>
      <c r="C404" s="68" t="inlineStr">
        <is>
          <t>`/|||)</t>
        </is>
      </c>
      <c r="D404" s="66" t="inlineStr">
        <is>
          <t>  </t>
        </is>
      </c>
      <c r="E404" s="66" t="inlineStr">
        <is>
          <t> </t>
        </is>
      </c>
    </row>
    <row r="405" ht="28.5" customHeight="1" s="71">
      <c r="A405" s="68" t="n">
        <v>1106</v>
      </c>
      <c r="B405" s="68" t="inlineStr">
        <is>
          <t>(|~#</t>
        </is>
      </c>
      <c r="C405" s="68" t="inlineStr">
        <is>
          <t>(|||~</t>
        </is>
      </c>
      <c r="D405" s="66" t="inlineStr">
        <is>
          <t> </t>
        </is>
      </c>
      <c r="E405" s="66" t="inlineStr">
        <is>
          <t></t>
        </is>
      </c>
    </row>
    <row r="406" ht="28.5" customHeight="1" s="71">
      <c r="A406" s="68" t="n">
        <v>1107</v>
      </c>
      <c r="B406" s="68" t="inlineStr">
        <is>
          <t>,'/|)#</t>
        </is>
      </c>
      <c r="C406" s="68" t="inlineStr">
        <is>
          <t>,'/|||)</t>
        </is>
      </c>
      <c r="D406" s="66" t="inlineStr">
        <is>
          <t>   </t>
        </is>
      </c>
      <c r="E406" s="66" t="inlineStr">
        <is>
          <t>  </t>
        </is>
      </c>
    </row>
    <row r="407" ht="28.5" customHeight="1" s="71">
      <c r="A407" s="68" t="n">
        <v>1108</v>
      </c>
      <c r="B407" s="68" t="inlineStr">
        <is>
          <t>'/|)#</t>
        </is>
      </c>
      <c r="C407" s="68" t="inlineStr">
        <is>
          <t>'/|||)</t>
        </is>
      </c>
      <c r="D407" s="66" t="inlineStr">
        <is>
          <t>  </t>
        </is>
      </c>
      <c r="E407" s="66" t="inlineStr">
        <is>
          <t> </t>
        </is>
      </c>
    </row>
    <row r="408" ht="28.5" customHeight="1" s="71">
      <c r="A408" s="68" t="n">
        <v>1109</v>
      </c>
      <c r="B408" s="68" t="inlineStr">
        <is>
          <t>`'/|)#</t>
        </is>
      </c>
      <c r="C408" s="68" t="inlineStr">
        <is>
          <t>`'/|||)</t>
        </is>
      </c>
      <c r="D408" s="66" t="inlineStr">
        <is>
          <t>   </t>
        </is>
      </c>
      <c r="E408" s="66" t="inlineStr">
        <is>
          <t>  </t>
        </is>
      </c>
    </row>
    <row r="409" ht="28.5" customHeight="1" s="71">
      <c r="A409" s="68" t="n">
        <v>1110</v>
      </c>
      <c r="B409" s="68" t="inlineStr">
        <is>
          <t>./|\#</t>
        </is>
      </c>
      <c r="C409" s="68" t="inlineStr">
        <is>
          <t>./|||\</t>
        </is>
      </c>
      <c r="D409" s="66" t="inlineStr">
        <is>
          <t>  </t>
        </is>
      </c>
      <c r="E409" s="66" t="inlineStr">
        <is>
          <t> </t>
        </is>
      </c>
    </row>
    <row r="410" ht="28.5" customHeight="1" s="71">
      <c r="A410" s="68" t="n">
        <v>1111</v>
      </c>
      <c r="B410" s="68" t="inlineStr">
        <is>
          <t>`./|\#</t>
        </is>
      </c>
      <c r="C410" s="68" t="inlineStr">
        <is>
          <t>`./|||\</t>
        </is>
      </c>
      <c r="D410" s="66" t="inlineStr">
        <is>
          <t>   </t>
        </is>
      </c>
      <c r="E410" s="66" t="inlineStr">
        <is>
          <t>  </t>
        </is>
      </c>
    </row>
    <row r="411" ht="28.5" customHeight="1" s="71">
      <c r="A411" s="68" t="n">
        <v>1112</v>
      </c>
      <c r="B411" s="68" t="inlineStr">
        <is>
          <t>,,/|\#</t>
        </is>
      </c>
      <c r="C411" s="68" t="inlineStr">
        <is>
          <t>,,/|||\</t>
        </is>
      </c>
      <c r="D411" s="66" t="inlineStr">
        <is>
          <t>  </t>
        </is>
      </c>
      <c r="E411" s="66" t="inlineStr">
        <is>
          <t> </t>
        </is>
      </c>
    </row>
    <row r="412" ht="28.5" customHeight="1" s="71">
      <c r="A412" s="68" t="n">
        <v>1113</v>
      </c>
      <c r="B412" s="68" t="inlineStr">
        <is>
          <t>,/|\#</t>
        </is>
      </c>
      <c r="C412" s="68" t="inlineStr">
        <is>
          <t>,/|||\</t>
        </is>
      </c>
      <c r="D412" s="66" t="inlineStr">
        <is>
          <t>  </t>
        </is>
      </c>
      <c r="E412" s="66" t="inlineStr">
        <is>
          <t> </t>
        </is>
      </c>
    </row>
    <row r="413" ht="28.5" customHeight="1" s="71">
      <c r="A413" s="68" t="n">
        <v>1114</v>
      </c>
      <c r="B413" s="68" t="inlineStr">
        <is>
          <t>/|\#</t>
        </is>
      </c>
      <c r="C413" s="68" t="inlineStr">
        <is>
          <t>/|||\</t>
        </is>
      </c>
      <c r="D413" s="66" t="inlineStr">
        <is>
          <t> </t>
        </is>
      </c>
      <c r="E413" s="66" t="inlineStr">
        <is>
          <t></t>
        </is>
      </c>
    </row>
    <row r="414" ht="28.5" customHeight="1" s="71">
      <c r="A414" s="68" t="n">
        <v>1115</v>
      </c>
      <c r="B414" s="68" t="inlineStr">
        <is>
          <t>`/|\#</t>
        </is>
      </c>
      <c r="C414" s="68" t="inlineStr">
        <is>
          <t>`/|||\</t>
        </is>
      </c>
      <c r="D414" s="66" t="inlineStr">
        <is>
          <t>  </t>
        </is>
      </c>
      <c r="E414" s="66" t="inlineStr">
        <is>
          <t> </t>
        </is>
      </c>
    </row>
    <row r="415" ht="28.5" customHeight="1" s="71">
      <c r="A415" s="68" t="n">
        <v>1116</v>
      </c>
      <c r="B415" s="68" t="inlineStr">
        <is>
          <t>,(/|#</t>
        </is>
      </c>
      <c r="C415" s="68" t="inlineStr">
        <is>
          <t>,(/|||</t>
        </is>
      </c>
      <c r="D415" s="66" t="inlineStr">
        <is>
          <t>  </t>
        </is>
      </c>
      <c r="E415" s="66" t="inlineStr">
        <is>
          <t> </t>
        </is>
      </c>
    </row>
    <row r="416" ht="28.5" customHeight="1" s="71">
      <c r="A416" s="68" t="n">
        <v>1117</v>
      </c>
      <c r="B416" s="68" t="inlineStr">
        <is>
          <t>(/|#</t>
        </is>
      </c>
      <c r="C416" s="68" t="inlineStr">
        <is>
          <t>(/|||</t>
        </is>
      </c>
      <c r="D416" s="66" t="inlineStr">
        <is>
          <t> </t>
        </is>
      </c>
      <c r="E416" s="66" t="inlineStr">
        <is>
          <t></t>
        </is>
      </c>
    </row>
    <row r="417" ht="28.5" customHeight="1" s="71">
      <c r="A417" s="68" t="n">
        <v>1118</v>
      </c>
      <c r="B417" s="68" t="inlineStr">
        <is>
          <t>`(/|#</t>
        </is>
      </c>
      <c r="C417" s="68" t="inlineStr">
        <is>
          <t>`(/|||</t>
        </is>
      </c>
      <c r="D417" s="66" t="inlineStr">
        <is>
          <t>  </t>
        </is>
      </c>
      <c r="E417" s="66" t="inlineStr">
        <is>
          <t> </t>
        </is>
      </c>
    </row>
    <row r="418" ht="28.5" customHeight="1" s="71">
      <c r="A418" s="68" t="n">
        <v>1119</v>
      </c>
      <c r="B418" s="68" t="inlineStr">
        <is>
          <t>'/|\#</t>
        </is>
      </c>
      <c r="C418" s="68" t="inlineStr">
        <is>
          <t>'/|||\</t>
        </is>
      </c>
      <c r="D418" s="66" t="inlineStr">
        <is>
          <t>  </t>
        </is>
      </c>
      <c r="E418" s="66" t="inlineStr">
        <is>
          <t> </t>
        </is>
      </c>
    </row>
    <row r="419" ht="28.5" customHeight="1" s="71">
      <c r="A419" s="68" t="n">
        <v>1120</v>
      </c>
      <c r="B419" s="68" t="inlineStr">
        <is>
          <t>`'/|\#</t>
        </is>
      </c>
      <c r="C419" s="68" t="inlineStr">
        <is>
          <t>`'/|||\</t>
        </is>
      </c>
      <c r="D419" s="66" t="inlineStr">
        <is>
          <t>   </t>
        </is>
      </c>
      <c r="E419" s="66" t="inlineStr">
        <is>
          <t>  </t>
        </is>
      </c>
    </row>
    <row r="420" ht="28.5" customHeight="1" s="71">
      <c r="A420" s="68" t="n">
        <v>1121</v>
      </c>
      <c r="B420" s="68" t="inlineStr">
        <is>
          <t>,)/|\#</t>
        </is>
      </c>
      <c r="C420" s="68" t="inlineStr">
        <is>
          <t>,)/|||\</t>
        </is>
      </c>
      <c r="D420" s="66" t="inlineStr">
        <is>
          <t>  </t>
        </is>
      </c>
      <c r="E420" s="66" t="inlineStr">
        <is>
          <t> </t>
        </is>
      </c>
    </row>
    <row r="421" ht="28.5" customHeight="1" s="71">
      <c r="A421" s="68" t="n">
        <v>1122</v>
      </c>
      <c r="B421" s="68" t="inlineStr">
        <is>
          <t>)/|\#</t>
        </is>
      </c>
      <c r="C421" s="68" t="inlineStr">
        <is>
          <t>)/|||\</t>
        </is>
      </c>
      <c r="D421" s="66" t="inlineStr">
        <is>
          <t> </t>
        </is>
      </c>
      <c r="E421" s="66" t="inlineStr">
        <is>
          <t></t>
        </is>
      </c>
    </row>
    <row r="422" ht="28.5" customHeight="1" s="71">
      <c r="A422" s="68" t="n">
        <v>1123</v>
      </c>
      <c r="B422" s="68" t="inlineStr">
        <is>
          <t>`)/|\#</t>
        </is>
      </c>
      <c r="C422" s="68" t="inlineStr">
        <is>
          <t>`)/|||\</t>
        </is>
      </c>
      <c r="D422" s="66" t="inlineStr">
        <is>
          <t>  </t>
        </is>
      </c>
      <c r="E422" s="66" t="inlineStr">
        <is>
          <t> </t>
        </is>
      </c>
    </row>
    <row r="423" ht="28.5" customHeight="1" s="71">
      <c r="A423" s="68" t="n">
        <v>1124</v>
      </c>
      <c r="B423" s="68" t="inlineStr">
        <is>
          <t>``)/|\#</t>
        </is>
      </c>
      <c r="C423" s="68" t="inlineStr">
        <is>
          <t>``)/|||\</t>
        </is>
      </c>
      <c r="D423" s="66" t="inlineStr">
        <is>
          <t>  </t>
        </is>
      </c>
      <c r="E423" s="66" t="inlineStr">
        <is>
          <t> </t>
        </is>
      </c>
    </row>
    <row r="424" ht="28.5" customHeight="1" s="71">
      <c r="A424" s="68" t="n">
        <v>1125</v>
      </c>
      <c r="B424" s="68" t="inlineStr">
        <is>
          <t>,.(|)#</t>
        </is>
      </c>
      <c r="C424" s="68" t="inlineStr">
        <is>
          <t>,.(|||)</t>
        </is>
      </c>
      <c r="D424" s="66" t="inlineStr">
        <is>
          <t>   </t>
        </is>
      </c>
      <c r="E424" s="66" t="inlineStr">
        <is>
          <t>  </t>
        </is>
      </c>
    </row>
    <row r="425" ht="28.5" customHeight="1" s="71">
      <c r="A425" s="68" t="n">
        <v>1126</v>
      </c>
      <c r="B425" s="68" t="inlineStr">
        <is>
          <t>.(|)#</t>
        </is>
      </c>
      <c r="C425" s="68" t="inlineStr">
        <is>
          <t>.(|||)</t>
        </is>
      </c>
      <c r="D425" s="66" t="inlineStr">
        <is>
          <t>  </t>
        </is>
      </c>
      <c r="E425" s="66" t="inlineStr">
        <is>
          <t> </t>
        </is>
      </c>
    </row>
    <row r="426" ht="28.5" customHeight="1" s="71">
      <c r="A426" s="68" t="n">
        <v>1127</v>
      </c>
      <c r="B426" s="68" t="inlineStr">
        <is>
          <t>,|\)#</t>
        </is>
      </c>
      <c r="C426" s="68" t="inlineStr">
        <is>
          <t>,|||\)</t>
        </is>
      </c>
      <c r="D426" s="66" t="inlineStr">
        <is>
          <t>  </t>
        </is>
      </c>
      <c r="E426" s="66" t="inlineStr">
        <is>
          <t> </t>
        </is>
      </c>
    </row>
    <row r="427" ht="28.5" customHeight="1" s="71">
      <c r="A427" s="68" t="n">
        <v>1128</v>
      </c>
      <c r="B427" s="68" t="inlineStr">
        <is>
          <t>|\)#</t>
        </is>
      </c>
      <c r="C427" s="68" t="inlineStr">
        <is>
          <t>|||\)</t>
        </is>
      </c>
      <c r="D427" s="66" t="inlineStr">
        <is>
          <t> </t>
        </is>
      </c>
      <c r="E427" s="66" t="inlineStr">
        <is>
          <t></t>
        </is>
      </c>
    </row>
    <row r="428" ht="28.5" customHeight="1" s="71">
      <c r="A428" s="68" t="n">
        <v>1129</v>
      </c>
      <c r="B428" s="68" t="inlineStr">
        <is>
          <t>`|\)#</t>
        </is>
      </c>
      <c r="C428" s="68" t="inlineStr">
        <is>
          <t>`|||\)</t>
        </is>
      </c>
      <c r="D428" s="66" t="inlineStr">
        <is>
          <t>  </t>
        </is>
      </c>
      <c r="E428" s="66" t="inlineStr">
        <is>
          <t> </t>
        </is>
      </c>
    </row>
    <row r="429" ht="28.5" customHeight="1" s="71">
      <c r="A429" s="68" t="n">
        <v>1130</v>
      </c>
      <c r="B429" s="68" t="inlineStr">
        <is>
          <t>,(|)#</t>
        </is>
      </c>
      <c r="C429" s="68" t="inlineStr">
        <is>
          <t>,(|||)</t>
        </is>
      </c>
      <c r="D429" s="66" t="inlineStr">
        <is>
          <t>  </t>
        </is>
      </c>
      <c r="E429" s="66" t="inlineStr">
        <is>
          <t> </t>
        </is>
      </c>
    </row>
    <row r="430" ht="28.5" customHeight="1" s="71">
      <c r="A430" s="68" t="n">
        <v>1131</v>
      </c>
      <c r="B430" s="68" t="inlineStr">
        <is>
          <t>(|)#</t>
        </is>
      </c>
      <c r="C430" s="68" t="inlineStr">
        <is>
          <t>(|||)</t>
        </is>
      </c>
      <c r="D430" s="66" t="inlineStr">
        <is>
          <t> </t>
        </is>
      </c>
      <c r="E430" s="66" t="inlineStr">
        <is>
          <t></t>
        </is>
      </c>
    </row>
    <row r="431" ht="28.5" customHeight="1" s="71">
      <c r="A431" s="68" t="n">
        <v>1132</v>
      </c>
      <c r="B431" s="68" t="inlineStr">
        <is>
          <t>`(|)#</t>
        </is>
      </c>
      <c r="C431" s="68" t="inlineStr">
        <is>
          <t>`(|||)</t>
        </is>
      </c>
      <c r="D431" s="66" t="inlineStr">
        <is>
          <t>  </t>
        </is>
      </c>
      <c r="E431" s="66" t="inlineStr">
        <is>
          <t> </t>
        </is>
      </c>
    </row>
    <row r="432" ht="28.5" customHeight="1" s="71">
      <c r="A432" s="68" t="n">
        <v>1133</v>
      </c>
      <c r="B432" s="68" t="inlineStr">
        <is>
          <t>``(|)#</t>
        </is>
      </c>
      <c r="C432" s="68" t="inlineStr">
        <is>
          <t>``(|||)</t>
        </is>
      </c>
      <c r="D432" s="66" t="inlineStr">
        <is>
          <t>  </t>
        </is>
      </c>
      <c r="E432" s="66" t="inlineStr">
        <is>
          <t> </t>
        </is>
      </c>
    </row>
    <row r="433" ht="28.5" customHeight="1" s="71">
      <c r="A433" s="68" t="n">
        <v>1134</v>
      </c>
      <c r="B433" s="68" t="inlineStr">
        <is>
          <t>,'(|)#</t>
        </is>
      </c>
      <c r="C433" s="68" t="inlineStr">
        <is>
          <t>,'(|||)</t>
        </is>
      </c>
      <c r="D433" s="66" t="inlineStr">
        <is>
          <t>   </t>
        </is>
      </c>
      <c r="E433" s="66" t="inlineStr">
        <is>
          <t>  </t>
        </is>
      </c>
    </row>
    <row r="434" ht="28.5" customHeight="1" s="71">
      <c r="A434" s="68" t="n">
        <v>1135</v>
      </c>
      <c r="B434" s="68" t="inlineStr">
        <is>
          <t>'(|)#</t>
        </is>
      </c>
      <c r="C434" s="68" t="inlineStr">
        <is>
          <t>'(|||)</t>
        </is>
      </c>
      <c r="D434" s="66" t="inlineStr">
        <is>
          <t>  </t>
        </is>
      </c>
      <c r="E434" s="66" t="inlineStr">
        <is>
          <t> </t>
        </is>
      </c>
    </row>
    <row r="435" ht="28.5" customHeight="1" s="71">
      <c r="A435" s="68" t="n">
        <v>1136</v>
      </c>
      <c r="B435" s="68" t="inlineStr">
        <is>
          <t>,.(|\#</t>
        </is>
      </c>
      <c r="C435" s="68" t="inlineStr">
        <is>
          <t>,.(|||\</t>
        </is>
      </c>
      <c r="D435" s="66" t="inlineStr">
        <is>
          <t>   </t>
        </is>
      </c>
      <c r="E435" s="66" t="inlineStr">
        <is>
          <t>  </t>
        </is>
      </c>
    </row>
    <row r="436" ht="28.5" customHeight="1" s="71">
      <c r="A436" s="68" t="n">
        <v>1137</v>
      </c>
      <c r="B436" s="68" t="inlineStr">
        <is>
          <t>.(|\#</t>
        </is>
      </c>
      <c r="C436" s="68" t="inlineStr">
        <is>
          <t>.(|||\</t>
        </is>
      </c>
      <c r="D436" s="66" t="inlineStr">
        <is>
          <t>  </t>
        </is>
      </c>
      <c r="E436" s="66" t="inlineStr">
        <is>
          <t> </t>
        </is>
      </c>
    </row>
    <row r="437" ht="28.5" customHeight="1" s="71">
      <c r="A437" s="68" t="n">
        <v>1138</v>
      </c>
      <c r="B437" s="68" t="inlineStr">
        <is>
          <t>`.(|\#</t>
        </is>
      </c>
      <c r="C437" s="68" t="inlineStr">
        <is>
          <t>`.(|||\</t>
        </is>
      </c>
      <c r="D437" s="66" t="inlineStr">
        <is>
          <t>   </t>
        </is>
      </c>
      <c r="E437" s="66" t="inlineStr">
        <is>
          <t>  </t>
        </is>
      </c>
    </row>
    <row r="438" ht="28.5" customHeight="1" s="71">
      <c r="A438" s="68" t="n">
        <v>1139</v>
      </c>
      <c r="B438" s="68" t="inlineStr">
        <is>
          <t>|\\#</t>
        </is>
      </c>
      <c r="C438" s="68" t="inlineStr">
        <is>
          <t>|||\\</t>
        </is>
      </c>
      <c r="D438" s="66" t="inlineStr">
        <is>
          <t> </t>
        </is>
      </c>
      <c r="E438" s="66" t="inlineStr">
        <is>
          <t></t>
        </is>
      </c>
    </row>
    <row r="439" ht="28.5" customHeight="1" s="71">
      <c r="A439" s="68" t="n">
        <v>1140</v>
      </c>
      <c r="B439" s="68" t="inlineStr">
        <is>
          <t>,(|\#</t>
        </is>
      </c>
      <c r="C439" s="68" t="inlineStr">
        <is>
          <t>,(|||\</t>
        </is>
      </c>
      <c r="D439" s="66" t="inlineStr">
        <is>
          <t>  </t>
        </is>
      </c>
      <c r="E439" s="66" t="inlineStr">
        <is>
          <t> </t>
        </is>
      </c>
    </row>
    <row r="440" ht="28.5" customHeight="1" s="71">
      <c r="A440" s="68" t="n">
        <v>1141</v>
      </c>
      <c r="B440" s="68" t="inlineStr">
        <is>
          <t>(|\#</t>
        </is>
      </c>
      <c r="C440" s="68" t="inlineStr">
        <is>
          <t>(|||\</t>
        </is>
      </c>
      <c r="D440" s="66" t="inlineStr">
        <is>
          <t> </t>
        </is>
      </c>
      <c r="E440" s="66" t="inlineStr">
        <is>
          <t></t>
        </is>
      </c>
    </row>
    <row r="441" ht="28.5" customHeight="1" s="71">
      <c r="A441" s="68" t="n">
        <v>1142</v>
      </c>
      <c r="B441" s="68" t="inlineStr">
        <is>
          <t>`(|\#</t>
        </is>
      </c>
      <c r="C441" s="68" t="inlineStr">
        <is>
          <t>`(|||\</t>
        </is>
      </c>
      <c r="D441" s="66" t="inlineStr">
        <is>
          <t>  </t>
        </is>
      </c>
      <c r="E441" s="66" t="inlineStr">
        <is>
          <t> </t>
        </is>
      </c>
    </row>
    <row r="442" ht="28.5" customHeight="1" s="71">
      <c r="A442" s="68" t="n">
        <v>1143</v>
      </c>
      <c r="B442" s="68" t="inlineStr">
        <is>
          <t>``(|\#</t>
        </is>
      </c>
      <c r="C442" s="68" t="inlineStr">
        <is>
          <t>``(|||\</t>
        </is>
      </c>
      <c r="D442" s="69" t="inlineStr">
        <is>
          <t>  </t>
        </is>
      </c>
      <c r="E442" s="66" t="inlineStr">
        <is>
          <t> </t>
        </is>
      </c>
    </row>
    <row r="443" ht="28.5" customHeight="1" s="71">
      <c r="A443" s="68" t="n">
        <v>1144</v>
      </c>
      <c r="B443" s="68" t="inlineStr">
        <is>
          <t>,,)|\\#</t>
        </is>
      </c>
      <c r="C443" s="68" t="inlineStr">
        <is>
          <t>,,)|||\\</t>
        </is>
      </c>
      <c r="D443" s="66" t="inlineStr">
        <is>
          <t>  </t>
        </is>
      </c>
      <c r="E443" s="66" t="inlineStr">
        <is>
          <t> </t>
        </is>
      </c>
    </row>
    <row r="444" ht="28.5" customHeight="1" s="71">
      <c r="A444" s="68" t="n">
        <v>1145</v>
      </c>
      <c r="B444" s="68" t="inlineStr">
        <is>
          <t>,)|\\#</t>
        </is>
      </c>
      <c r="C444" s="68" t="inlineStr">
        <is>
          <t>,)|||\\</t>
        </is>
      </c>
      <c r="D444" s="66" t="inlineStr">
        <is>
          <t>  </t>
        </is>
      </c>
      <c r="E444" s="66" t="inlineStr">
        <is>
          <t> </t>
        </is>
      </c>
    </row>
    <row r="445" ht="28.5" customHeight="1" s="71">
      <c r="A445" s="68" t="n">
        <v>1146</v>
      </c>
      <c r="B445" s="68" t="inlineStr">
        <is>
          <t>)|\\#</t>
        </is>
      </c>
      <c r="C445" s="68" t="inlineStr">
        <is>
          <t>)|||\\</t>
        </is>
      </c>
      <c r="D445" s="66" t="inlineStr">
        <is>
          <t> </t>
        </is>
      </c>
      <c r="E445" s="66" t="inlineStr">
        <is>
          <t></t>
        </is>
      </c>
    </row>
    <row r="446" ht="28.5" customHeight="1" s="71">
      <c r="A446" s="68" t="n">
        <v>1147</v>
      </c>
      <c r="B446" s="68" t="inlineStr">
        <is>
          <t>`)|\\#</t>
        </is>
      </c>
      <c r="C446" s="68" t="inlineStr">
        <is>
          <t>`)|||\\</t>
        </is>
      </c>
      <c r="D446" s="69" t="inlineStr">
        <is>
          <t>  </t>
        </is>
      </c>
      <c r="E446" s="69" t="inlineStr">
        <is>
          <t> </t>
        </is>
      </c>
    </row>
    <row r="447" ht="28.5" customHeight="1" s="71">
      <c r="A447" s="68" t="n">
        <v>1148</v>
      </c>
      <c r="B447" s="68" t="inlineStr">
        <is>
          <t>``)|\\#</t>
        </is>
      </c>
      <c r="C447" s="68" t="inlineStr">
        <is>
          <t>``)|||\\</t>
        </is>
      </c>
      <c r="D447" s="69" t="inlineStr">
        <is>
          <t>  </t>
        </is>
      </c>
      <c r="E447" s="69" t="inlineStr">
        <is>
          <t> </t>
        </is>
      </c>
    </row>
    <row r="448" ht="28.5" customHeight="1" s="71">
      <c r="A448" s="68" t="n">
        <v>999</v>
      </c>
      <c r="B448" s="68" t="inlineStr">
        <is>
          <t>,!#</t>
        </is>
      </c>
      <c r="C448" s="68" t="inlineStr">
        <is>
          <t>,/||\</t>
        </is>
      </c>
      <c r="D448" s="66" t="inlineStr">
        <is>
          <t>  </t>
        </is>
      </c>
      <c r="E448" s="66" t="inlineStr">
        <is>
          <t> </t>
        </is>
      </c>
    </row>
    <row r="449" ht="28.5" customHeight="1" s="71">
      <c r="A449" s="68" t="n">
        <v>998</v>
      </c>
      <c r="B449" s="68" t="inlineStr">
        <is>
          <t>,,!#</t>
        </is>
      </c>
      <c r="C449" s="68" t="inlineStr">
        <is>
          <t>,,/||\</t>
        </is>
      </c>
      <c r="D449" s="66" t="inlineStr">
        <is>
          <t>  </t>
        </is>
      </c>
      <c r="E449" s="66" t="inlineStr">
        <is>
          <t> </t>
        </is>
      </c>
    </row>
    <row r="450" ht="28.5" customHeight="1" s="71">
      <c r="A450" s="68" t="n">
        <v>997</v>
      </c>
      <c r="B450" s="68" t="inlineStr">
        <is>
          <t>')!#</t>
        </is>
      </c>
      <c r="C450" s="68" t="inlineStr">
        <is>
          <t>'(||~</t>
        </is>
      </c>
      <c r="D450" s="66" t="inlineStr">
        <is>
          <t>  </t>
        </is>
      </c>
      <c r="E450" s="66" t="inlineStr">
        <is>
          <t> </t>
        </is>
      </c>
    </row>
    <row r="451" ht="28.5" customHeight="1" s="71">
      <c r="A451" s="68" t="n">
        <v>996</v>
      </c>
      <c r="B451" s="68" t="inlineStr">
        <is>
          <t>.!#</t>
        </is>
      </c>
      <c r="C451" s="68" t="inlineStr">
        <is>
          <t>./||\</t>
        </is>
      </c>
      <c r="D451" s="66" t="inlineStr">
        <is>
          <t>  </t>
        </is>
      </c>
      <c r="E451" s="66" t="inlineStr">
        <is>
          <t> </t>
        </is>
      </c>
    </row>
    <row r="452" ht="28.5" customHeight="1" s="71">
      <c r="A452" s="68" t="n">
        <v>995</v>
      </c>
      <c r="B452" s="68" t="inlineStr">
        <is>
          <t>,.!#</t>
        </is>
      </c>
      <c r="C452" s="68" t="inlineStr">
        <is>
          <t>,./||\</t>
        </is>
      </c>
      <c r="D452" s="66" t="inlineStr">
        <is>
          <t>   </t>
        </is>
      </c>
      <c r="E452" s="66" t="inlineStr">
        <is>
          <t>  </t>
        </is>
      </c>
    </row>
    <row r="453" ht="28.5" customHeight="1" s="71">
      <c r="A453" s="68" t="n">
        <v>994</v>
      </c>
      <c r="B453" s="68" t="inlineStr">
        <is>
          <t>`)!#</t>
        </is>
      </c>
      <c r="C453" s="68" t="inlineStr">
        <is>
          <t>`(||~</t>
        </is>
      </c>
      <c r="D453" s="66" t="inlineStr">
        <is>
          <t>  </t>
        </is>
      </c>
      <c r="E453" s="66" t="inlineStr">
        <is>
          <t> </t>
        </is>
      </c>
    </row>
    <row r="454" ht="28.5" customHeight="1" s="71">
      <c r="A454" s="68" t="n">
        <v>993</v>
      </c>
      <c r="B454" s="68" t="inlineStr">
        <is>
          <t>)!#</t>
        </is>
      </c>
      <c r="C454" s="68" t="inlineStr">
        <is>
          <t>(||~</t>
        </is>
      </c>
      <c r="D454" s="66" t="inlineStr">
        <is>
          <t> </t>
        </is>
      </c>
      <c r="E454" s="66" t="inlineStr">
        <is>
          <t></t>
        </is>
      </c>
    </row>
    <row r="455" ht="28.5" customHeight="1" s="71">
      <c r="A455" s="68" t="n">
        <v>992</v>
      </c>
      <c r="B455" s="68" t="inlineStr">
        <is>
          <t>,)!#</t>
        </is>
      </c>
      <c r="C455" s="68" t="inlineStr">
        <is>
          <t>,(||~</t>
        </is>
      </c>
      <c r="D455" s="66" t="inlineStr">
        <is>
          <t>  </t>
        </is>
      </c>
      <c r="E455" s="66" t="inlineStr">
        <is>
          <t> </t>
        </is>
      </c>
    </row>
    <row r="456" ht="28.5" customHeight="1" s="71">
      <c r="A456" s="68" t="n">
        <v>991</v>
      </c>
      <c r="B456" s="68" t="inlineStr">
        <is>
          <t>,,)!#</t>
        </is>
      </c>
      <c r="C456" s="68" t="inlineStr">
        <is>
          <t>,,(||~</t>
        </is>
      </c>
      <c r="D456" s="66" t="inlineStr">
        <is>
          <t>  </t>
        </is>
      </c>
      <c r="E456" s="66" t="inlineStr">
        <is>
          <t> </t>
        </is>
      </c>
    </row>
    <row r="457" ht="28.5" customHeight="1" s="71">
      <c r="A457" s="68" t="n">
        <v>990</v>
      </c>
      <c r="B457" s="68" t="inlineStr">
        <is>
          <t>``!(#</t>
        </is>
      </c>
      <c r="C457" s="68" t="inlineStr">
        <is>
          <t>``/||)</t>
        </is>
      </c>
      <c r="D457" s="66" t="inlineStr">
        <is>
          <t>  </t>
        </is>
      </c>
      <c r="E457" s="66" t="inlineStr">
        <is>
          <t> </t>
        </is>
      </c>
    </row>
    <row r="458" ht="28.5" customHeight="1" s="71">
      <c r="A458" s="68" t="n">
        <v>989</v>
      </c>
      <c r="B458" s="68" t="inlineStr">
        <is>
          <t>`!(#</t>
        </is>
      </c>
      <c r="C458" s="68" t="inlineStr">
        <is>
          <t>`/||)</t>
        </is>
      </c>
      <c r="D458" s="66" t="inlineStr">
        <is>
          <t>  </t>
        </is>
      </c>
      <c r="E458" s="66" t="inlineStr">
        <is>
          <t> </t>
        </is>
      </c>
    </row>
    <row r="459" ht="28.5" customHeight="1" s="71">
      <c r="A459" s="68" t="n">
        <v>988</v>
      </c>
      <c r="B459" s="68" t="inlineStr">
        <is>
          <t>!(#</t>
        </is>
      </c>
      <c r="C459" s="68" t="inlineStr">
        <is>
          <t>/||)</t>
        </is>
      </c>
      <c r="D459" s="66" t="inlineStr">
        <is>
          <t> </t>
        </is>
      </c>
      <c r="E459" s="66" t="inlineStr">
        <is>
          <t></t>
        </is>
      </c>
    </row>
    <row r="460" ht="28.5" customHeight="1" s="71">
      <c r="A460" s="68" t="n">
        <v>987</v>
      </c>
      <c r="B460" s="68" t="inlineStr">
        <is>
          <t>,!(#</t>
        </is>
      </c>
      <c r="C460" s="68" t="inlineStr">
        <is>
          <t>,/||)</t>
        </is>
      </c>
      <c r="D460" s="66" t="inlineStr">
        <is>
          <t>  </t>
        </is>
      </c>
      <c r="E460" s="66" t="inlineStr">
        <is>
          <t> </t>
        </is>
      </c>
    </row>
    <row r="461" ht="28.5" customHeight="1" s="71">
      <c r="A461" s="68" t="n">
        <v>986</v>
      </c>
      <c r="B461" s="68" t="inlineStr">
        <is>
          <t>'~!#</t>
        </is>
      </c>
      <c r="C461" s="68" t="inlineStr">
        <is>
          <t>')//||</t>
        </is>
      </c>
      <c r="D461" s="66" t="inlineStr">
        <is>
          <t>  </t>
        </is>
      </c>
      <c r="E461" s="66" t="inlineStr">
        <is>
          <t> </t>
        </is>
      </c>
    </row>
    <row r="462" ht="28.5" customHeight="1" s="71">
      <c r="A462" s="68" t="n">
        <v>985</v>
      </c>
      <c r="B462" s="68" t="inlineStr">
        <is>
          <t>`.!(#</t>
        </is>
      </c>
      <c r="C462" s="68" t="inlineStr">
        <is>
          <t>`./||)</t>
        </is>
      </c>
      <c r="D462" s="66" t="inlineStr">
        <is>
          <t>   </t>
        </is>
      </c>
      <c r="E462" s="66" t="inlineStr">
        <is>
          <t>  </t>
        </is>
      </c>
    </row>
    <row r="463" ht="28.5" customHeight="1" s="71">
      <c r="A463" s="68" t="n">
        <v>984</v>
      </c>
      <c r="B463" s="68" t="inlineStr">
        <is>
          <t>.!(#</t>
        </is>
      </c>
      <c r="C463" s="68" t="inlineStr">
        <is>
          <t>./||)</t>
        </is>
      </c>
      <c r="D463" s="66" t="inlineStr">
        <is>
          <t>  </t>
        </is>
      </c>
      <c r="E463" s="66" t="inlineStr">
        <is>
          <t> </t>
        </is>
      </c>
    </row>
    <row r="464" ht="28.5" customHeight="1" s="71">
      <c r="A464" s="68" t="n">
        <v>983</v>
      </c>
      <c r="B464" s="68" t="inlineStr">
        <is>
          <t>`~!#</t>
        </is>
      </c>
      <c r="C464" s="68" t="inlineStr">
        <is>
          <t>`)//||</t>
        </is>
      </c>
      <c r="D464" s="66" t="inlineStr">
        <is>
          <t>  </t>
        </is>
      </c>
      <c r="E464" s="66" t="inlineStr">
        <is>
          <t> </t>
        </is>
      </c>
    </row>
    <row r="465" ht="28.5" customHeight="1" s="71">
      <c r="A465" s="68" t="n">
        <v>982</v>
      </c>
      <c r="B465" s="68" t="inlineStr">
        <is>
          <t>~!#</t>
        </is>
      </c>
      <c r="C465" s="68" t="inlineStr">
        <is>
          <t>)//||</t>
        </is>
      </c>
      <c r="D465" s="66" t="inlineStr">
        <is>
          <t> </t>
        </is>
      </c>
      <c r="E465" s="66" t="inlineStr">
        <is>
          <t></t>
        </is>
      </c>
    </row>
    <row r="466" ht="28.5" customHeight="1" s="71">
      <c r="A466" s="68" t="n">
        <v>981</v>
      </c>
      <c r="B466" s="68" t="inlineStr">
        <is>
          <t>`)!(#</t>
        </is>
      </c>
      <c r="C466" s="68" t="inlineStr">
        <is>
          <t>`//||</t>
        </is>
      </c>
      <c r="D466" s="66" t="inlineStr">
        <is>
          <t>  </t>
        </is>
      </c>
      <c r="E466" s="66" t="inlineStr">
        <is>
          <t> </t>
        </is>
      </c>
    </row>
    <row r="467" ht="28.5" customHeight="1" s="71">
      <c r="A467" s="68" t="n">
        <v>980</v>
      </c>
      <c r="B467" s="68" t="inlineStr">
        <is>
          <t>)!(#</t>
        </is>
      </c>
      <c r="C467" s="68" t="inlineStr">
        <is>
          <t>//||</t>
        </is>
      </c>
      <c r="D467" s="66" t="inlineStr">
        <is>
          <t> </t>
        </is>
      </c>
      <c r="E467" s="66" t="inlineStr">
        <is>
          <t></t>
        </is>
      </c>
    </row>
    <row r="468" ht="28.5" customHeight="1" s="71">
      <c r="A468" s="68" t="n">
        <v>979</v>
      </c>
      <c r="B468" s="68" t="inlineStr">
        <is>
          <t>,)!(#</t>
        </is>
      </c>
      <c r="C468" s="68" t="inlineStr">
        <is>
          <t>,//||</t>
        </is>
      </c>
      <c r="D468" s="66" t="inlineStr">
        <is>
          <t>  </t>
        </is>
      </c>
      <c r="E468" s="66" t="inlineStr">
        <is>
          <t> </t>
        </is>
      </c>
    </row>
    <row r="469" ht="28.5" customHeight="1" s="71">
      <c r="A469" s="68" t="n">
        <v>978</v>
      </c>
      <c r="B469" s="68" t="inlineStr">
        <is>
          <t>,,)!(#</t>
        </is>
      </c>
      <c r="C469" s="68" t="inlineStr">
        <is>
          <t>,,//||</t>
        </is>
      </c>
      <c r="D469" s="66" t="inlineStr">
        <is>
          <t>  </t>
        </is>
      </c>
      <c r="E469" s="66" t="inlineStr">
        <is>
          <t> </t>
        </is>
      </c>
    </row>
    <row r="470" ht="28.5" customHeight="1" s="71">
      <c r="A470" s="68" t="n">
        <v>977</v>
      </c>
      <c r="B470" s="68" t="inlineStr">
        <is>
          <t>`.)!(#</t>
        </is>
      </c>
      <c r="C470" s="68" t="inlineStr">
        <is>
          <t>`.//||</t>
        </is>
      </c>
      <c r="D470" s="66" t="inlineStr">
        <is>
          <t>   </t>
        </is>
      </c>
      <c r="E470" s="66" t="inlineStr">
        <is>
          <t>  </t>
        </is>
      </c>
    </row>
    <row r="471" ht="28.5" customHeight="1" s="71">
      <c r="A471" s="68" t="n">
        <v>976</v>
      </c>
      <c r="B471" s="68" t="inlineStr">
        <is>
          <t>.)!(#</t>
        </is>
      </c>
      <c r="C471" s="68" t="inlineStr">
        <is>
          <t>.//||</t>
        </is>
      </c>
      <c r="D471" s="66" t="inlineStr">
        <is>
          <t>  </t>
        </is>
      </c>
      <c r="E471" s="66" t="inlineStr">
        <is>
          <t> </t>
        </is>
      </c>
    </row>
    <row r="472" ht="28.5" customHeight="1" s="71">
      <c r="A472" s="68" t="n">
        <v>975</v>
      </c>
      <c r="B472" s="68" t="inlineStr">
        <is>
          <t>)~!#</t>
        </is>
      </c>
      <c r="C472" s="68" t="inlineStr">
        <is>
          <t>~||\</t>
        </is>
      </c>
      <c r="D472" s="66" t="inlineStr">
        <is>
          <t> </t>
        </is>
      </c>
      <c r="E472" s="66" t="inlineStr">
        <is>
          <t></t>
        </is>
      </c>
    </row>
    <row r="473" ht="28.5" customHeight="1" s="71">
      <c r="A473" s="68" t="n">
        <v>974</v>
      </c>
      <c r="B473" s="68" t="inlineStr">
        <is>
          <t>'~!(#</t>
        </is>
      </c>
      <c r="C473" s="68" t="inlineStr">
        <is>
          <t>'(||(</t>
        </is>
      </c>
      <c r="D473" s="66" t="inlineStr">
        <is>
          <t>  </t>
        </is>
      </c>
      <c r="E473" s="66" t="inlineStr">
        <is>
          <t> </t>
        </is>
      </c>
    </row>
    <row r="474" ht="28.5" customHeight="1" s="71">
      <c r="A474" s="68" t="n">
        <v>973</v>
      </c>
      <c r="B474" s="68" t="inlineStr">
        <is>
          <t>,'~!(#</t>
        </is>
      </c>
      <c r="C474" s="68" t="inlineStr">
        <is>
          <t>,'(||(</t>
        </is>
      </c>
      <c r="D474" s="66" t="inlineStr">
        <is>
          <t>   </t>
        </is>
      </c>
      <c r="E474" s="66" t="inlineStr">
        <is>
          <t>  </t>
        </is>
      </c>
    </row>
    <row r="475" ht="28.5" customHeight="1" s="71">
      <c r="A475" s="68" t="n">
        <v>972</v>
      </c>
      <c r="B475" s="68" t="inlineStr">
        <is>
          <t>``~!(#</t>
        </is>
      </c>
      <c r="C475" s="68" t="inlineStr">
        <is>
          <t>``(||(</t>
        </is>
      </c>
      <c r="D475" s="66" t="inlineStr">
        <is>
          <t>  </t>
        </is>
      </c>
      <c r="E475" s="66" t="inlineStr">
        <is>
          <t> </t>
        </is>
      </c>
    </row>
    <row r="476" ht="28.5" customHeight="1" s="71">
      <c r="A476" s="68" t="n">
        <v>971</v>
      </c>
      <c r="B476" s="68" t="inlineStr">
        <is>
          <t>`~!(#</t>
        </is>
      </c>
      <c r="C476" s="68" t="inlineStr">
        <is>
          <t>`(||(</t>
        </is>
      </c>
      <c r="D476" s="66" t="inlineStr">
        <is>
          <t>  </t>
        </is>
      </c>
      <c r="E476" s="66" t="inlineStr">
        <is>
          <t> </t>
        </is>
      </c>
    </row>
    <row r="477" ht="28.5" customHeight="1" s="71">
      <c r="A477" s="68" t="n">
        <v>970</v>
      </c>
      <c r="B477" s="68" t="inlineStr">
        <is>
          <t>~!(#</t>
        </is>
      </c>
      <c r="C477" s="68" t="inlineStr">
        <is>
          <t>(||(</t>
        </is>
      </c>
      <c r="D477" s="66" t="inlineStr">
        <is>
          <t> </t>
        </is>
      </c>
      <c r="E477" s="66" t="inlineStr">
        <is>
          <t></t>
        </is>
      </c>
    </row>
    <row r="478" ht="28.5" customHeight="1" s="71">
      <c r="A478" s="68" t="n">
        <v>969</v>
      </c>
      <c r="B478" s="68" t="inlineStr">
        <is>
          <t>,~!(#</t>
        </is>
      </c>
      <c r="C478" s="68" t="inlineStr">
        <is>
          <t>,(||(</t>
        </is>
      </c>
      <c r="D478" s="66" t="inlineStr">
        <is>
          <t>  </t>
        </is>
      </c>
      <c r="E478" s="66" t="inlineStr">
        <is>
          <t> </t>
        </is>
      </c>
    </row>
    <row r="479" ht="28.5" customHeight="1" s="71">
      <c r="A479" s="68" t="n">
        <v>968</v>
      </c>
      <c r="B479" s="68" t="inlineStr">
        <is>
          <t>``!~#</t>
        </is>
      </c>
      <c r="C479" s="68" t="inlineStr">
        <is>
          <t>``/||~</t>
        </is>
      </c>
      <c r="D479" s="66" t="inlineStr">
        <is>
          <t>  </t>
        </is>
      </c>
      <c r="E479" s="66" t="inlineStr">
        <is>
          <t> </t>
        </is>
      </c>
    </row>
    <row r="480" ht="28.5" customHeight="1" s="71">
      <c r="A480" s="68" t="n">
        <v>967</v>
      </c>
      <c r="B480" s="68" t="inlineStr">
        <is>
          <t>`!~#</t>
        </is>
      </c>
      <c r="C480" s="68" t="inlineStr">
        <is>
          <t>`/||~</t>
        </is>
      </c>
      <c r="D480" s="66" t="inlineStr">
        <is>
          <t>  </t>
        </is>
      </c>
      <c r="E480" s="66" t="inlineStr">
        <is>
          <t> </t>
        </is>
      </c>
    </row>
    <row r="481" ht="28.5" customHeight="1" s="71">
      <c r="A481" s="68" t="n">
        <v>966</v>
      </c>
      <c r="B481" s="68" t="inlineStr">
        <is>
          <t>!~#</t>
        </is>
      </c>
      <c r="C481" s="68" t="inlineStr">
        <is>
          <t>/||~</t>
        </is>
      </c>
      <c r="D481" s="66" t="inlineStr">
        <is>
          <t> </t>
        </is>
      </c>
      <c r="E481" s="66" t="inlineStr">
        <is>
          <t></t>
        </is>
      </c>
    </row>
    <row r="482" ht="28.5" customHeight="1" s="71">
      <c r="A482" s="68" t="n">
        <v>965</v>
      </c>
      <c r="B482" s="68" t="inlineStr">
        <is>
          <t>,!~#</t>
        </is>
      </c>
      <c r="C482" s="68" t="inlineStr">
        <is>
          <t>,/||~</t>
        </is>
      </c>
      <c r="D482" s="66" t="inlineStr">
        <is>
          <t>  </t>
        </is>
      </c>
      <c r="E482" s="66" t="inlineStr">
        <is>
          <t> </t>
        </is>
      </c>
    </row>
    <row r="483" ht="28.5" customHeight="1" s="71">
      <c r="A483" s="68" t="n">
        <v>964</v>
      </c>
      <c r="B483" s="68" t="inlineStr">
        <is>
          <t>~~!#</t>
        </is>
      </c>
      <c r="C483" s="68" t="inlineStr">
        <is>
          <t>~||)</t>
        </is>
      </c>
      <c r="D483" s="66" t="inlineStr">
        <is>
          <t> </t>
        </is>
      </c>
      <c r="E483" s="66" t="inlineStr">
        <is>
          <t></t>
        </is>
      </c>
    </row>
    <row r="484" ht="28.5" customHeight="1" s="71">
      <c r="A484" s="68" t="n">
        <v>963</v>
      </c>
      <c r="B484" s="68" t="inlineStr">
        <is>
          <t>,~~!#</t>
        </is>
      </c>
      <c r="C484" s="68" t="inlineStr">
        <is>
          <t>,~||)</t>
        </is>
      </c>
      <c r="D484" s="66" t="inlineStr">
        <is>
          <t>  </t>
        </is>
      </c>
      <c r="E484" s="66" t="inlineStr">
        <is>
          <t> </t>
        </is>
      </c>
    </row>
    <row r="485" ht="28.5" customHeight="1" s="71">
      <c r="A485" s="68" t="n">
        <v>962</v>
      </c>
      <c r="B485" s="68" t="inlineStr">
        <is>
          <t>,,~~!#</t>
        </is>
      </c>
      <c r="C485" s="68" t="inlineStr">
        <is>
          <t>,,~||)</t>
        </is>
      </c>
      <c r="D485" s="66" t="inlineStr">
        <is>
          <t>  </t>
        </is>
      </c>
      <c r="E485" s="66" t="inlineStr">
        <is>
          <t> </t>
        </is>
      </c>
    </row>
    <row r="486" ht="28.5" customHeight="1" s="71">
      <c r="A486" s="68" t="n">
        <v>961</v>
      </c>
      <c r="B486" s="68" t="inlineStr">
        <is>
          <t>`'\!#</t>
        </is>
      </c>
      <c r="C486" s="68" t="inlineStr">
        <is>
          <t>`'||\</t>
        </is>
      </c>
      <c r="D486" s="66" t="inlineStr">
        <is>
          <t>   </t>
        </is>
      </c>
      <c r="E486" s="66" t="inlineStr">
        <is>
          <t>  </t>
        </is>
      </c>
    </row>
    <row r="487" ht="28.5" customHeight="1" s="71">
      <c r="A487" s="68" t="n">
        <v>960</v>
      </c>
      <c r="B487" s="68" t="inlineStr">
        <is>
          <t>'\!#</t>
        </is>
      </c>
      <c r="C487" s="68" t="inlineStr">
        <is>
          <t>'||\</t>
        </is>
      </c>
      <c r="D487" s="66" t="inlineStr">
        <is>
          <t>  </t>
        </is>
      </c>
      <c r="E487" s="66" t="inlineStr">
        <is>
          <t> </t>
        </is>
      </c>
    </row>
    <row r="488" ht="28.5" customHeight="1" s="71">
      <c r="A488" s="68" t="n">
        <v>959</v>
      </c>
      <c r="B488" s="68" t="inlineStr">
        <is>
          <t>)!~#</t>
        </is>
      </c>
      <c r="C488" s="68" t="inlineStr">
        <is>
          <t>(||</t>
        </is>
      </c>
      <c r="D488" s="66" t="inlineStr">
        <is>
          <t> </t>
        </is>
      </c>
      <c r="E488" s="66" t="inlineStr">
        <is>
          <t></t>
        </is>
      </c>
    </row>
    <row r="489" ht="28.5" customHeight="1" s="71">
      <c r="A489" s="68" t="n">
        <v>958</v>
      </c>
      <c r="B489" s="68" t="inlineStr">
        <is>
          <t>``\!#</t>
        </is>
      </c>
      <c r="C489" s="68" t="inlineStr">
        <is>
          <t>``||\</t>
        </is>
      </c>
      <c r="D489" s="66" t="inlineStr">
        <is>
          <t>  </t>
        </is>
      </c>
      <c r="E489" s="66" t="inlineStr">
        <is>
          <t> </t>
        </is>
      </c>
    </row>
    <row r="490" ht="28.5" customHeight="1" s="71">
      <c r="A490" s="68" t="n">
        <v>957</v>
      </c>
      <c r="B490" s="68" t="inlineStr">
        <is>
          <t>`\!#</t>
        </is>
      </c>
      <c r="C490" s="68" t="inlineStr">
        <is>
          <t>`||\</t>
        </is>
      </c>
      <c r="D490" s="66" t="inlineStr">
        <is>
          <t>  </t>
        </is>
      </c>
      <c r="E490" s="66" t="inlineStr">
        <is>
          <t> </t>
        </is>
      </c>
    </row>
    <row r="491" ht="28.5" customHeight="1" s="71">
      <c r="A491" s="68" t="n">
        <v>956</v>
      </c>
      <c r="B491" s="68" t="inlineStr">
        <is>
          <t>\!#</t>
        </is>
      </c>
      <c r="C491" s="68" t="inlineStr">
        <is>
          <t>||\</t>
        </is>
      </c>
      <c r="D491" s="66" t="inlineStr">
        <is>
          <t> </t>
        </is>
      </c>
      <c r="E491" s="66" t="inlineStr">
        <is>
          <t></t>
        </is>
      </c>
    </row>
    <row r="492" ht="28.5" customHeight="1" s="71">
      <c r="A492" s="68" t="n">
        <v>955</v>
      </c>
      <c r="B492" s="68" t="inlineStr">
        <is>
          <t>,\!#</t>
        </is>
      </c>
      <c r="C492" s="68" t="inlineStr">
        <is>
          <t>,||\</t>
        </is>
      </c>
      <c r="D492" s="66" t="inlineStr">
        <is>
          <t>  </t>
        </is>
      </c>
      <c r="E492" s="66" t="inlineStr">
        <is>
          <t> </t>
        </is>
      </c>
    </row>
    <row r="493" ht="28.5" customHeight="1" s="71">
      <c r="A493" s="68" t="n">
        <v>954</v>
      </c>
      <c r="B493" s="68" t="inlineStr">
        <is>
          <t>,,\!#</t>
        </is>
      </c>
      <c r="C493" s="68" t="inlineStr">
        <is>
          <t>,,||\</t>
        </is>
      </c>
      <c r="D493" s="66" t="inlineStr">
        <is>
          <t>  </t>
        </is>
      </c>
      <c r="E493" s="66" t="inlineStr">
        <is>
          <t> </t>
        </is>
      </c>
    </row>
    <row r="494" ht="28.5" customHeight="1" s="71">
      <c r="A494" s="68" t="n">
        <v>953</v>
      </c>
      <c r="B494" s="68" t="inlineStr">
        <is>
          <t>')\!#</t>
        </is>
      </c>
      <c r="C494" s="68" t="inlineStr">
        <is>
          <t>')||)</t>
        </is>
      </c>
      <c r="D494" s="66" t="inlineStr">
        <is>
          <t>  </t>
        </is>
      </c>
      <c r="E494" s="66" t="inlineStr">
        <is>
          <t> </t>
        </is>
      </c>
    </row>
    <row r="495" ht="28.5" customHeight="1" s="71">
      <c r="A495" s="68" t="n">
        <v>952</v>
      </c>
      <c r="B495" s="68" t="inlineStr">
        <is>
          <t>.\!#</t>
        </is>
      </c>
      <c r="C495" s="68" t="inlineStr">
        <is>
          <t>.||\</t>
        </is>
      </c>
      <c r="D495" s="66" t="inlineStr">
        <is>
          <t>  </t>
        </is>
      </c>
      <c r="E495" s="66" t="inlineStr">
        <is>
          <t> </t>
        </is>
      </c>
    </row>
    <row r="496" ht="28.5" customHeight="1" s="71">
      <c r="A496" s="68" t="n">
        <v>951</v>
      </c>
      <c r="B496" s="68" t="inlineStr">
        <is>
          <t>,.\!#</t>
        </is>
      </c>
      <c r="C496" s="68" t="inlineStr">
        <is>
          <t>,.||\</t>
        </is>
      </c>
      <c r="D496" s="66" t="inlineStr">
        <is>
          <t>   </t>
        </is>
      </c>
      <c r="E496" s="66" t="inlineStr">
        <is>
          <t>  </t>
        </is>
      </c>
    </row>
    <row r="497" ht="28.5" customHeight="1" s="71">
      <c r="A497" s="68" t="n">
        <v>950</v>
      </c>
      <c r="B497" s="68" t="inlineStr">
        <is>
          <t>``)\!#</t>
        </is>
      </c>
      <c r="C497" s="68" t="inlineStr">
        <is>
          <t>``)||)</t>
        </is>
      </c>
      <c r="D497" s="66" t="inlineStr">
        <is>
          <t>  </t>
        </is>
      </c>
      <c r="E497" s="66" t="inlineStr">
        <is>
          <t> </t>
        </is>
      </c>
    </row>
    <row r="498" ht="28.5" customHeight="1" s="71">
      <c r="A498" s="68" t="n">
        <v>949</v>
      </c>
      <c r="B498" s="68" t="inlineStr">
        <is>
          <t>`)\!#</t>
        </is>
      </c>
      <c r="C498" s="68" t="inlineStr">
        <is>
          <t>`)||)</t>
        </is>
      </c>
      <c r="D498" s="66" t="inlineStr">
        <is>
          <t>  </t>
        </is>
      </c>
      <c r="E498" s="66" t="inlineStr">
        <is>
          <t> </t>
        </is>
      </c>
    </row>
    <row r="499" ht="28.5" customHeight="1" s="71">
      <c r="A499" s="68" t="n">
        <v>948</v>
      </c>
      <c r="B499" s="68" t="inlineStr">
        <is>
          <t>)\!#</t>
        </is>
      </c>
      <c r="C499" s="68" t="inlineStr">
        <is>
          <t>)||)</t>
        </is>
      </c>
      <c r="D499" s="66" t="inlineStr">
        <is>
          <t> </t>
        </is>
      </c>
      <c r="E499" s="66" t="inlineStr">
        <is>
          <t></t>
        </is>
      </c>
    </row>
    <row r="500" ht="28.5" customHeight="1" s="71">
      <c r="A500" s="68" t="n">
        <v>947</v>
      </c>
      <c r="B500" s="68" t="inlineStr">
        <is>
          <t>`'!)#</t>
        </is>
      </c>
      <c r="C500" s="68" t="inlineStr">
        <is>
          <t>`'||)</t>
        </is>
      </c>
      <c r="D500" s="66" t="inlineStr">
        <is>
          <t>   </t>
        </is>
      </c>
      <c r="E500" s="66" t="inlineStr">
        <is>
          <t>  </t>
        </is>
      </c>
    </row>
    <row r="501" ht="28.5" customHeight="1" s="71">
      <c r="A501" s="68" t="n">
        <v>946</v>
      </c>
      <c r="B501" s="68" t="inlineStr">
        <is>
          <t>'!)#</t>
        </is>
      </c>
      <c r="C501" s="68" t="inlineStr">
        <is>
          <t>'||)</t>
        </is>
      </c>
      <c r="D501" s="66" t="inlineStr">
        <is>
          <t>  </t>
        </is>
      </c>
      <c r="E501" s="66" t="inlineStr">
        <is>
          <t> </t>
        </is>
      </c>
    </row>
    <row r="502" ht="28.5" customHeight="1" s="71">
      <c r="A502" s="68" t="n">
        <v>945</v>
      </c>
      <c r="B502" s="68" t="inlineStr">
        <is>
          <t>,'!)#</t>
        </is>
      </c>
      <c r="C502" s="68" t="inlineStr">
        <is>
          <t>,'||)</t>
        </is>
      </c>
      <c r="D502" s="66" t="inlineStr">
        <is>
          <t>   </t>
        </is>
      </c>
      <c r="E502" s="66" t="inlineStr">
        <is>
          <t>  </t>
        </is>
      </c>
    </row>
    <row r="503" ht="28.5" customHeight="1" s="71">
      <c r="A503" s="68" t="n">
        <v>944</v>
      </c>
      <c r="B503" s="68" t="inlineStr">
        <is>
          <t>``!)#</t>
        </is>
      </c>
      <c r="C503" s="68" t="inlineStr">
        <is>
          <t>``||)</t>
        </is>
      </c>
      <c r="D503" s="66" t="inlineStr">
        <is>
          <t>  </t>
        </is>
      </c>
      <c r="E503" s="66" t="inlineStr">
        <is>
          <t> </t>
        </is>
      </c>
    </row>
    <row r="504" ht="28.5" customHeight="1" s="71">
      <c r="A504" s="68" t="n">
        <v>943</v>
      </c>
      <c r="B504" s="68" t="inlineStr">
        <is>
          <t>`!)#</t>
        </is>
      </c>
      <c r="C504" s="68" t="inlineStr">
        <is>
          <t>`||)</t>
        </is>
      </c>
      <c r="D504" s="66" t="inlineStr">
        <is>
          <t>  </t>
        </is>
      </c>
      <c r="E504" s="66" t="inlineStr">
        <is>
          <t> </t>
        </is>
      </c>
    </row>
    <row r="505" ht="28.5" customHeight="1" s="71">
      <c r="A505" s="68" t="n">
        <v>942</v>
      </c>
      <c r="B505" s="68" t="inlineStr">
        <is>
          <t>!)#</t>
        </is>
      </c>
      <c r="C505" s="68" t="inlineStr">
        <is>
          <t>||)</t>
        </is>
      </c>
      <c r="D505" s="66" t="inlineStr">
        <is>
          <t> </t>
        </is>
      </c>
      <c r="E505" s="66" t="inlineStr">
        <is>
          <t></t>
        </is>
      </c>
    </row>
    <row r="506" ht="28.5" customHeight="1" s="71">
      <c r="A506" s="68" t="n">
        <v>941</v>
      </c>
      <c r="B506" s="68" t="inlineStr">
        <is>
          <t>,!)#</t>
        </is>
      </c>
      <c r="C506" s="68" t="inlineStr">
        <is>
          <t>,||)</t>
        </is>
      </c>
      <c r="D506" s="66" t="inlineStr">
        <is>
          <t>  </t>
        </is>
      </c>
      <c r="E506" s="66" t="inlineStr">
        <is>
          <t> </t>
        </is>
      </c>
    </row>
    <row r="507" ht="28.5" customHeight="1" s="71">
      <c r="A507" s="68" t="n">
        <v>940</v>
      </c>
      <c r="B507" s="68" t="inlineStr">
        <is>
          <t>,,!)#</t>
        </is>
      </c>
      <c r="C507" s="68" t="inlineStr">
        <is>
          <t>,,||)</t>
        </is>
      </c>
      <c r="D507" s="66" t="inlineStr">
        <is>
          <t>  </t>
        </is>
      </c>
      <c r="E507" s="66" t="inlineStr">
        <is>
          <t> </t>
        </is>
      </c>
    </row>
    <row r="508" ht="28.5" customHeight="1" s="71">
      <c r="A508" s="68" t="n">
        <v>939</v>
      </c>
      <c r="B508" s="68" t="inlineStr">
        <is>
          <t>`.!)#</t>
        </is>
      </c>
      <c r="C508" s="68" t="inlineStr">
        <is>
          <t>`.||)</t>
        </is>
      </c>
      <c r="D508" s="66" t="inlineStr">
        <is>
          <t>   </t>
        </is>
      </c>
      <c r="E508" s="66" t="inlineStr">
        <is>
          <t>  </t>
        </is>
      </c>
    </row>
    <row r="509" ht="28.5" customHeight="1" s="71">
      <c r="A509" s="68" t="n">
        <v>938</v>
      </c>
      <c r="B509" s="68" t="inlineStr">
        <is>
          <t>.!)#</t>
        </is>
      </c>
      <c r="C509" s="68" t="inlineStr">
        <is>
          <t>.||)</t>
        </is>
      </c>
      <c r="D509" s="66" t="inlineStr">
        <is>
          <t>  </t>
        </is>
      </c>
      <c r="E509" s="66" t="inlineStr">
        <is>
          <t> </t>
        </is>
      </c>
    </row>
    <row r="510" ht="28.5" customHeight="1" s="71">
      <c r="A510" s="68" t="n">
        <v>937</v>
      </c>
      <c r="B510" s="68" t="inlineStr">
        <is>
          <t>,.!)#</t>
        </is>
      </c>
      <c r="C510" s="68" t="inlineStr">
        <is>
          <t>,.||)</t>
        </is>
      </c>
      <c r="D510" s="66" t="inlineStr">
        <is>
          <t>   </t>
        </is>
      </c>
      <c r="E510" s="66" t="inlineStr">
        <is>
          <t>  </t>
        </is>
      </c>
    </row>
    <row r="511" ht="28.5" customHeight="1" s="71">
      <c r="A511" s="68" t="n">
        <v>936</v>
      </c>
      <c r="B511" s="68" t="inlineStr">
        <is>
          <t>`)!)#</t>
        </is>
      </c>
      <c r="C511" s="68" t="inlineStr">
        <is>
          <t>`)/||</t>
        </is>
      </c>
      <c r="D511" s="66" t="inlineStr">
        <is>
          <t>  </t>
        </is>
      </c>
      <c r="E511" s="66" t="inlineStr">
        <is>
          <t> </t>
        </is>
      </c>
    </row>
    <row r="512" ht="28.5" customHeight="1" s="71">
      <c r="A512" s="68" t="n">
        <v>935</v>
      </c>
      <c r="B512" s="68" t="inlineStr">
        <is>
          <t>)!)#</t>
        </is>
      </c>
      <c r="C512" s="68" t="inlineStr">
        <is>
          <t>)/||</t>
        </is>
      </c>
      <c r="D512" s="66" t="inlineStr">
        <is>
          <t> </t>
        </is>
      </c>
      <c r="E512" s="66" t="inlineStr">
        <is>
          <t></t>
        </is>
      </c>
    </row>
    <row r="513" ht="28.5" customHeight="1" s="71">
      <c r="A513" s="68" t="n">
        <v>934</v>
      </c>
      <c r="B513" s="68" t="inlineStr">
        <is>
          <t>'(!#</t>
        </is>
      </c>
      <c r="C513" s="68" t="inlineStr">
        <is>
          <t>')||~</t>
        </is>
      </c>
      <c r="D513" s="66" t="inlineStr">
        <is>
          <t>  </t>
        </is>
      </c>
      <c r="E513" s="66" t="inlineStr">
        <is>
          <t> </t>
        </is>
      </c>
    </row>
    <row r="514" ht="28.5" customHeight="1" s="71">
      <c r="A514" s="68" t="n">
        <v>933</v>
      </c>
      <c r="B514" s="68" t="inlineStr">
        <is>
          <t>!/#</t>
        </is>
      </c>
      <c r="C514" s="68" t="inlineStr">
        <is>
          <t>/||</t>
        </is>
      </c>
      <c r="D514" s="66" t="inlineStr">
        <is>
          <t> </t>
        </is>
      </c>
      <c r="E514" s="66" t="inlineStr">
        <is>
          <t></t>
        </is>
      </c>
    </row>
    <row r="515" ht="28.5" customHeight="1" s="71">
      <c r="A515" s="68" t="n">
        <v>932</v>
      </c>
      <c r="B515" s="68" t="inlineStr">
        <is>
          <t>,!/#</t>
        </is>
      </c>
      <c r="C515" s="68" t="inlineStr">
        <is>
          <t>,/||</t>
        </is>
      </c>
      <c r="D515" s="66" t="inlineStr">
        <is>
          <t>  </t>
        </is>
      </c>
      <c r="E515" s="66" t="inlineStr">
        <is>
          <t> </t>
        </is>
      </c>
    </row>
    <row r="516" ht="28.5" customHeight="1" s="71">
      <c r="A516" s="68" t="n">
        <v>931</v>
      </c>
      <c r="B516" s="68" t="inlineStr">
        <is>
          <t>`(!#</t>
        </is>
      </c>
      <c r="C516" s="68" t="inlineStr">
        <is>
          <t>`)||~</t>
        </is>
      </c>
      <c r="D516" s="66" t="inlineStr">
        <is>
          <t>  </t>
        </is>
      </c>
      <c r="E516" s="66" t="inlineStr">
        <is>
          <t> </t>
        </is>
      </c>
    </row>
    <row r="517" ht="28.5" customHeight="1" s="71">
      <c r="A517" s="68" t="n">
        <v>930</v>
      </c>
      <c r="B517" s="68" t="inlineStr">
        <is>
          <t>(!#</t>
        </is>
      </c>
      <c r="C517" s="68" t="inlineStr">
        <is>
          <t>)||~</t>
        </is>
      </c>
      <c r="D517" s="66" t="inlineStr">
        <is>
          <t> </t>
        </is>
      </c>
      <c r="E517" s="66" t="inlineStr">
        <is>
          <t></t>
        </is>
      </c>
    </row>
    <row r="518" ht="28.5" customHeight="1" s="71">
      <c r="A518" s="68" t="n">
        <v>929</v>
      </c>
      <c r="B518" s="68" t="inlineStr">
        <is>
          <t>,(!#</t>
        </is>
      </c>
      <c r="C518" s="68" t="inlineStr">
        <is>
          <t>,)||~</t>
        </is>
      </c>
      <c r="D518" s="66" t="inlineStr">
        <is>
          <t>  </t>
        </is>
      </c>
      <c r="E518" s="66" t="inlineStr">
        <is>
          <t> </t>
        </is>
      </c>
    </row>
    <row r="519" ht="28.5" customHeight="1" s="71">
      <c r="A519" s="68" t="n">
        <v>928</v>
      </c>
      <c r="B519" s="68" t="inlineStr">
        <is>
          <t>,,(!#</t>
        </is>
      </c>
      <c r="C519" s="68" t="inlineStr">
        <is>
          <t>,,)||~</t>
        </is>
      </c>
      <c r="D519" s="66" t="inlineStr">
        <is>
          <t>  </t>
        </is>
      </c>
      <c r="E519" s="66" t="inlineStr">
        <is>
          <t> </t>
        </is>
      </c>
    </row>
    <row r="520" ht="28.5" customHeight="1" s="71">
      <c r="A520" s="68" t="n">
        <v>927</v>
      </c>
      <c r="B520" s="68" t="inlineStr">
        <is>
          <t>`.(!#</t>
        </is>
      </c>
      <c r="C520" s="68" t="inlineStr">
        <is>
          <t>`.)||~</t>
        </is>
      </c>
      <c r="D520" s="66" t="inlineStr">
        <is>
          <t>   </t>
        </is>
      </c>
      <c r="E520" s="66" t="inlineStr">
        <is>
          <t>  </t>
        </is>
      </c>
    </row>
    <row r="521" ht="28.5" customHeight="1" s="71">
      <c r="A521" s="68" t="n">
        <v>926</v>
      </c>
      <c r="B521" s="68" t="inlineStr">
        <is>
          <t>.(!#</t>
        </is>
      </c>
      <c r="C521" s="68" t="inlineStr">
        <is>
          <t>.)||~</t>
        </is>
      </c>
      <c r="D521" s="66" t="inlineStr">
        <is>
          <t>  </t>
        </is>
      </c>
      <c r="E521" s="66" t="inlineStr">
        <is>
          <t> </t>
        </is>
      </c>
    </row>
    <row r="522" ht="28.5" customHeight="1" s="71">
      <c r="A522" s="68" t="n">
        <v>925</v>
      </c>
      <c r="B522" s="68" t="inlineStr">
        <is>
          <t>`~!)#</t>
        </is>
      </c>
      <c r="C522" s="68" t="inlineStr">
        <is>
          <t>`~~||</t>
        </is>
      </c>
      <c r="D522" s="66" t="inlineStr">
        <is>
          <t>  </t>
        </is>
      </c>
      <c r="E522" s="66" t="inlineStr">
        <is>
          <t> </t>
        </is>
      </c>
    </row>
    <row r="523" ht="28.5" customHeight="1" s="71">
      <c r="A523" s="68" t="n">
        <v>924</v>
      </c>
      <c r="B523" s="68" t="inlineStr">
        <is>
          <t>~!)#</t>
        </is>
      </c>
      <c r="C523" s="68" t="inlineStr">
        <is>
          <t>~~||</t>
        </is>
      </c>
      <c r="D523" s="66" t="inlineStr">
        <is>
          <t> </t>
        </is>
      </c>
      <c r="E523" s="66" t="inlineStr">
        <is>
          <t></t>
        </is>
      </c>
    </row>
    <row r="524" ht="28.5" customHeight="1" s="71">
      <c r="A524" s="68" t="n">
        <v>923</v>
      </c>
      <c r="B524" s="68" t="inlineStr">
        <is>
          <t>,~!)#</t>
        </is>
      </c>
      <c r="C524" s="68" t="inlineStr">
        <is>
          <t>,~~||</t>
        </is>
      </c>
      <c r="D524" s="66" t="inlineStr">
        <is>
          <t>  </t>
        </is>
      </c>
      <c r="E524" s="66" t="inlineStr">
        <is>
          <t> </t>
        </is>
      </c>
    </row>
    <row r="525" ht="28.5" customHeight="1" s="71">
      <c r="A525" s="68" t="n">
        <v>922</v>
      </c>
      <c r="B525" s="68" t="inlineStr">
        <is>
          <t>`'(!(#</t>
        </is>
      </c>
      <c r="C525" s="68" t="inlineStr">
        <is>
          <t>`'~||(</t>
        </is>
      </c>
      <c r="D525" s="66" t="inlineStr">
        <is>
          <t>   </t>
        </is>
      </c>
      <c r="E525" s="66" t="inlineStr">
        <is>
          <t>  </t>
        </is>
      </c>
    </row>
    <row r="526" ht="28.5" customHeight="1" s="71">
      <c r="A526" s="68" t="n">
        <v>921</v>
      </c>
      <c r="B526" s="68" t="inlineStr">
        <is>
          <t>'(!(#</t>
        </is>
      </c>
      <c r="C526" s="68" t="inlineStr">
        <is>
          <t>'~||(</t>
        </is>
      </c>
      <c r="D526" s="66" t="inlineStr">
        <is>
          <t>  </t>
        </is>
      </c>
      <c r="E526" s="66" t="inlineStr">
        <is>
          <t> </t>
        </is>
      </c>
    </row>
    <row r="527" ht="28.5" customHeight="1" s="71">
      <c r="A527" s="68" t="n">
        <v>920</v>
      </c>
      <c r="B527" s="68" t="inlineStr">
        <is>
          <t>.~!)#</t>
        </is>
      </c>
      <c r="C527" s="68" t="inlineStr">
        <is>
          <t>.~~||</t>
        </is>
      </c>
      <c r="D527" s="66" t="inlineStr">
        <is>
          <t>  </t>
        </is>
      </c>
      <c r="E527" s="66" t="inlineStr">
        <is>
          <t> </t>
        </is>
      </c>
    </row>
    <row r="528" ht="28.5" customHeight="1" s="71">
      <c r="A528" s="68" t="n">
        <v>919</v>
      </c>
      <c r="B528" s="68" t="inlineStr">
        <is>
          <t>\!~#</t>
        </is>
      </c>
      <c r="C528" s="68" t="inlineStr">
        <is>
          <t>||~</t>
        </is>
      </c>
      <c r="D528" s="66" t="inlineStr">
        <is>
          <t> </t>
        </is>
      </c>
      <c r="E528" s="66" t="inlineStr">
        <is>
          <t></t>
        </is>
      </c>
    </row>
    <row r="529" ht="28.5" customHeight="1" s="71">
      <c r="A529" s="68" t="n">
        <v>918</v>
      </c>
      <c r="B529" s="68" t="inlineStr">
        <is>
          <t>``(!(#</t>
        </is>
      </c>
      <c r="C529" s="68" t="inlineStr">
        <is>
          <t>``~||(</t>
        </is>
      </c>
      <c r="D529" s="66" t="inlineStr">
        <is>
          <t>  </t>
        </is>
      </c>
      <c r="E529" s="66" t="inlineStr">
        <is>
          <t> </t>
        </is>
      </c>
    </row>
    <row r="530" ht="28.5" customHeight="1" s="71">
      <c r="A530" s="68" t="n">
        <v>917</v>
      </c>
      <c r="B530" s="68" t="inlineStr">
        <is>
          <t>`(!(#</t>
        </is>
      </c>
      <c r="C530" s="68" t="inlineStr">
        <is>
          <t>`~||(</t>
        </is>
      </c>
      <c r="D530" s="66" t="inlineStr">
        <is>
          <t>  </t>
        </is>
      </c>
      <c r="E530" s="66" t="inlineStr">
        <is>
          <t> </t>
        </is>
      </c>
    </row>
    <row r="531" ht="28.5" customHeight="1" s="71">
      <c r="A531" s="68" t="n">
        <v>916</v>
      </c>
      <c r="B531" s="68" t="inlineStr">
        <is>
          <t>(!(#</t>
        </is>
      </c>
      <c r="C531" s="68" t="inlineStr">
        <is>
          <t>~||(</t>
        </is>
      </c>
      <c r="D531" s="66" t="inlineStr">
        <is>
          <t> </t>
        </is>
      </c>
      <c r="E531" s="66" t="inlineStr">
        <is>
          <t></t>
        </is>
      </c>
    </row>
    <row r="532" ht="28.5" customHeight="1" s="71">
      <c r="A532" s="68" t="n">
        <v>915</v>
      </c>
      <c r="B532" s="68" t="inlineStr">
        <is>
          <t>,(!(#</t>
        </is>
      </c>
      <c r="C532" s="68" t="inlineStr">
        <is>
          <t>,~||(</t>
        </is>
      </c>
      <c r="D532" s="66" t="inlineStr">
        <is>
          <t>  </t>
        </is>
      </c>
      <c r="E532" s="66" t="inlineStr">
        <is>
          <t> </t>
        </is>
      </c>
    </row>
    <row r="533" ht="28.5" customHeight="1" s="71">
      <c r="A533" s="68" t="n">
        <v>914</v>
      </c>
      <c r="B533" s="68" t="inlineStr">
        <is>
          <t>~!/#</t>
        </is>
      </c>
      <c r="C533" s="68" t="inlineStr">
        <is>
          <t>)~||</t>
        </is>
      </c>
      <c r="D533" s="66" t="inlineStr">
        <is>
          <t> </t>
        </is>
      </c>
      <c r="E533" s="66" t="inlineStr">
        <is>
          <t></t>
        </is>
      </c>
    </row>
    <row r="534" ht="28.5" customHeight="1" s="71">
      <c r="A534" s="68" t="n">
        <v>913</v>
      </c>
      <c r="B534" s="68" t="inlineStr">
        <is>
          <t>`'\\!#</t>
        </is>
      </c>
      <c r="C534" s="68" t="inlineStr">
        <is>
          <t>`')||(</t>
        </is>
      </c>
      <c r="D534" s="66" t="inlineStr">
        <is>
          <t>   </t>
        </is>
      </c>
      <c r="E534" s="66" t="inlineStr">
        <is>
          <t>  </t>
        </is>
      </c>
    </row>
    <row r="535" ht="28.5" customHeight="1" s="71">
      <c r="A535" s="68" t="n">
        <v>912</v>
      </c>
      <c r="B535" s="68" t="inlineStr">
        <is>
          <t>'\\!#</t>
        </is>
      </c>
      <c r="C535" s="68" t="inlineStr">
        <is>
          <t>')||(</t>
        </is>
      </c>
      <c r="D535" s="66" t="inlineStr">
        <is>
          <t>  </t>
        </is>
      </c>
      <c r="E535" s="66" t="inlineStr">
        <is>
          <t> </t>
        </is>
      </c>
    </row>
    <row r="536" ht="28.5" customHeight="1" s="71">
      <c r="A536" s="68" t="n">
        <v>911</v>
      </c>
      <c r="B536" s="68" t="inlineStr">
        <is>
          <t>,'\\!#</t>
        </is>
      </c>
      <c r="C536" s="68" t="inlineStr">
        <is>
          <t>,')||(</t>
        </is>
      </c>
      <c r="D536" s="66" t="inlineStr">
        <is>
          <t>   </t>
        </is>
      </c>
      <c r="E536" s="66" t="inlineStr">
        <is>
          <t>  </t>
        </is>
      </c>
    </row>
    <row r="537" ht="28.5" customHeight="1" s="71">
      <c r="A537" s="68" t="n">
        <v>910</v>
      </c>
      <c r="B537" s="68" t="inlineStr">
        <is>
          <t>``\\!#</t>
        </is>
      </c>
      <c r="C537" s="68" t="inlineStr">
        <is>
          <t>``)||(</t>
        </is>
      </c>
      <c r="D537" s="66" t="inlineStr">
        <is>
          <t>  </t>
        </is>
      </c>
      <c r="E537" s="66" t="inlineStr">
        <is>
          <t> </t>
        </is>
      </c>
    </row>
    <row r="538" ht="28.5" customHeight="1" s="71">
      <c r="A538" s="68" t="n">
        <v>909</v>
      </c>
      <c r="B538" s="68" t="inlineStr">
        <is>
          <t>`\\!#</t>
        </is>
      </c>
      <c r="C538" s="68" t="inlineStr">
        <is>
          <t>`)||(</t>
        </is>
      </c>
      <c r="D538" s="66" t="inlineStr">
        <is>
          <t>  </t>
        </is>
      </c>
      <c r="E538" s="66" t="inlineStr">
        <is>
          <t> </t>
        </is>
      </c>
    </row>
    <row r="539" ht="28.5" customHeight="1" s="71">
      <c r="A539" s="68" t="n">
        <v>908</v>
      </c>
      <c r="B539" s="68" t="inlineStr">
        <is>
          <t>\\!#</t>
        </is>
      </c>
      <c r="C539" s="68" t="inlineStr">
        <is>
          <t>)||(</t>
        </is>
      </c>
      <c r="D539" s="66" t="inlineStr">
        <is>
          <t> </t>
        </is>
      </c>
      <c r="E539" s="66" t="inlineStr">
        <is>
          <t></t>
        </is>
      </c>
    </row>
    <row r="540" ht="28.5" customHeight="1" s="71">
      <c r="A540" s="68" t="n">
        <v>907</v>
      </c>
      <c r="B540" s="68" t="inlineStr">
        <is>
          <t>,\\!#</t>
        </is>
      </c>
      <c r="C540" s="68" t="inlineStr">
        <is>
          <t>,)||(</t>
        </is>
      </c>
      <c r="D540" s="66" t="inlineStr">
        <is>
          <t>  </t>
        </is>
      </c>
      <c r="E540" s="66" t="inlineStr">
        <is>
          <t> </t>
        </is>
      </c>
    </row>
    <row r="541" ht="28.5" customHeight="1" s="71">
      <c r="A541" s="68" t="n">
        <v>906</v>
      </c>
      <c r="B541" s="68" t="inlineStr">
        <is>
          <t>,,\\!#</t>
        </is>
      </c>
      <c r="C541" s="68" t="inlineStr">
        <is>
          <t>,,)||(</t>
        </is>
      </c>
      <c r="D541" s="66" t="inlineStr">
        <is>
          <t>  </t>
        </is>
      </c>
      <c r="E541" s="66" t="inlineStr">
        <is>
          <t> </t>
        </is>
      </c>
    </row>
    <row r="542" ht="28.5" customHeight="1" s="71">
      <c r="A542" s="68" t="n">
        <v>905</v>
      </c>
      <c r="B542" s="68" t="inlineStr">
        <is>
          <t>`.\\!#</t>
        </is>
      </c>
      <c r="C542" s="68" t="inlineStr">
        <is>
          <t>`.)||(</t>
        </is>
      </c>
      <c r="D542" s="66" t="inlineStr">
        <is>
          <t>   </t>
        </is>
      </c>
      <c r="E542" s="66" t="inlineStr">
        <is>
          <t>  </t>
        </is>
      </c>
    </row>
    <row r="543" ht="28.5" customHeight="1" s="71">
      <c r="A543" s="68" t="n">
        <v>904</v>
      </c>
      <c r="B543" s="68" t="inlineStr">
        <is>
          <t>.\\!#</t>
        </is>
      </c>
      <c r="C543" s="68" t="inlineStr">
        <is>
          <t>.)||(</t>
        </is>
      </c>
      <c r="D543" s="66" t="inlineStr">
        <is>
          <t>  </t>
        </is>
      </c>
      <c r="E543" s="66" t="inlineStr">
        <is>
          <t> </t>
        </is>
      </c>
    </row>
    <row r="544" ht="28.5" customHeight="1" s="71">
      <c r="A544" s="68" t="n">
        <v>2000</v>
      </c>
      <c r="B544" s="68" t="inlineStr">
        <is>
          <t>x</t>
        </is>
      </c>
      <c r="C544" s="68" t="inlineStr">
        <is>
          <t>/X\</t>
        </is>
      </c>
      <c r="D544" s="69" t="inlineStr">
        <is>
          <t></t>
        </is>
      </c>
      <c r="E544" s="69" t="inlineStr">
        <is>
          <t></t>
        </is>
      </c>
    </row>
    <row r="545" ht="28.5" customHeight="1" s="71">
      <c r="A545" s="68" t="n">
        <v>1999</v>
      </c>
      <c r="B545" s="68" t="inlineStr">
        <is>
          <t>,!x</t>
        </is>
      </c>
      <c r="C545" s="68" t="inlineStr">
        <is>
          <t>,/X\</t>
        </is>
      </c>
      <c r="D545" s="69" t="inlineStr">
        <is>
          <t>  </t>
        </is>
      </c>
      <c r="E545" s="69" t="inlineStr">
        <is>
          <t> </t>
        </is>
      </c>
    </row>
    <row r="546" ht="28.5" customHeight="1" s="71">
      <c r="A546" s="68" t="n">
        <v>1998</v>
      </c>
      <c r="B546" s="68" t="inlineStr">
        <is>
          <t>,,!x</t>
        </is>
      </c>
      <c r="C546" s="68" t="inlineStr">
        <is>
          <t>,,/X\</t>
        </is>
      </c>
      <c r="D546" s="66" t="inlineStr">
        <is>
          <t>  </t>
        </is>
      </c>
      <c r="E546" s="66" t="inlineStr">
        <is>
          <t> </t>
        </is>
      </c>
    </row>
    <row r="547" ht="28.5" customHeight="1" s="71">
      <c r="A547" s="68" t="n">
        <v>1997</v>
      </c>
      <c r="B547" s="68" t="inlineStr">
        <is>
          <t>')!x</t>
        </is>
      </c>
      <c r="C547" s="68" t="inlineStr">
        <is>
          <t>'(X~</t>
        </is>
      </c>
      <c r="D547" s="66" t="inlineStr">
        <is>
          <t>  </t>
        </is>
      </c>
      <c r="E547" s="66" t="inlineStr">
        <is>
          <t> </t>
        </is>
      </c>
    </row>
    <row r="548" ht="28.5" customHeight="1" s="71">
      <c r="A548" s="68" t="n">
        <v>1996</v>
      </c>
      <c r="B548" s="68" t="inlineStr">
        <is>
          <t>.!x</t>
        </is>
      </c>
      <c r="C548" s="68" t="inlineStr">
        <is>
          <t>./X\</t>
        </is>
      </c>
      <c r="D548" s="66" t="inlineStr">
        <is>
          <t>  </t>
        </is>
      </c>
      <c r="E548" s="66" t="inlineStr">
        <is>
          <t> </t>
        </is>
      </c>
    </row>
    <row r="549" ht="28.5" customHeight="1" s="71">
      <c r="A549" s="68" t="n">
        <v>1995</v>
      </c>
      <c r="B549" s="68" t="inlineStr">
        <is>
          <t>,.!x</t>
        </is>
      </c>
      <c r="C549" s="68" t="inlineStr">
        <is>
          <t>,./X\</t>
        </is>
      </c>
      <c r="D549" s="66" t="inlineStr">
        <is>
          <t>   </t>
        </is>
      </c>
      <c r="E549" s="66" t="inlineStr">
        <is>
          <t>  </t>
        </is>
      </c>
    </row>
    <row r="550" ht="28.5" customHeight="1" s="71">
      <c r="A550" s="68" t="n">
        <v>1994</v>
      </c>
      <c r="B550" s="68" t="inlineStr">
        <is>
          <t>`)!x</t>
        </is>
      </c>
      <c r="C550" s="68" t="inlineStr">
        <is>
          <t>`(X~</t>
        </is>
      </c>
      <c r="D550" s="66" t="inlineStr">
        <is>
          <t>  </t>
        </is>
      </c>
      <c r="E550" s="66" t="inlineStr">
        <is>
          <t> </t>
        </is>
      </c>
    </row>
    <row r="551" ht="28.5" customHeight="1" s="71">
      <c r="A551" s="68" t="n">
        <v>1993</v>
      </c>
      <c r="B551" s="68" t="inlineStr">
        <is>
          <t>)!x</t>
        </is>
      </c>
      <c r="C551" s="68" t="inlineStr">
        <is>
          <t>(X~</t>
        </is>
      </c>
      <c r="D551" s="66" t="inlineStr">
        <is>
          <t> </t>
        </is>
      </c>
      <c r="E551" s="66" t="inlineStr">
        <is>
          <t></t>
        </is>
      </c>
    </row>
    <row r="552" ht="28.5" customHeight="1" s="71">
      <c r="A552" s="68" t="n">
        <v>1992</v>
      </c>
      <c r="B552" s="68" t="inlineStr">
        <is>
          <t>,)!x</t>
        </is>
      </c>
      <c r="C552" s="68" t="inlineStr">
        <is>
          <t>,(X~</t>
        </is>
      </c>
      <c r="D552" s="66" t="inlineStr">
        <is>
          <t>  </t>
        </is>
      </c>
      <c r="E552" s="66" t="inlineStr">
        <is>
          <t> </t>
        </is>
      </c>
    </row>
    <row r="553" ht="28.5" customHeight="1" s="71">
      <c r="A553" s="68" t="n">
        <v>1991</v>
      </c>
      <c r="B553" s="68" t="inlineStr">
        <is>
          <t>,,)!x</t>
        </is>
      </c>
      <c r="C553" s="68" t="inlineStr">
        <is>
          <t>,,(X~</t>
        </is>
      </c>
      <c r="D553" s="66" t="inlineStr">
        <is>
          <t>  </t>
        </is>
      </c>
      <c r="E553" s="66" t="inlineStr">
        <is>
          <t> </t>
        </is>
      </c>
    </row>
    <row r="554" ht="28.5" customHeight="1" s="71">
      <c r="A554" s="68" t="n">
        <v>1990</v>
      </c>
      <c r="B554" s="68" t="inlineStr">
        <is>
          <t>``!(x</t>
        </is>
      </c>
      <c r="C554" s="68" t="inlineStr">
        <is>
          <t>``/X)</t>
        </is>
      </c>
      <c r="D554" s="66" t="inlineStr">
        <is>
          <t>  </t>
        </is>
      </c>
      <c r="E554" s="66" t="inlineStr">
        <is>
          <t> </t>
        </is>
      </c>
    </row>
    <row r="555" ht="28.5" customHeight="1" s="71">
      <c r="A555" s="68" t="n">
        <v>1989</v>
      </c>
      <c r="B555" s="68" t="inlineStr">
        <is>
          <t>`!(x</t>
        </is>
      </c>
      <c r="C555" s="68" t="inlineStr">
        <is>
          <t>`/X)</t>
        </is>
      </c>
      <c r="D555" s="66" t="inlineStr">
        <is>
          <t>  </t>
        </is>
      </c>
      <c r="E555" s="66" t="inlineStr">
        <is>
          <t> </t>
        </is>
      </c>
    </row>
    <row r="556" ht="28.5" customHeight="1" s="71">
      <c r="A556" s="68" t="n">
        <v>1988</v>
      </c>
      <c r="B556" s="68" t="inlineStr">
        <is>
          <t>!(x</t>
        </is>
      </c>
      <c r="C556" s="68" t="inlineStr">
        <is>
          <t>/X)</t>
        </is>
      </c>
      <c r="D556" s="66" t="inlineStr">
        <is>
          <t> </t>
        </is>
      </c>
      <c r="E556" s="66" t="inlineStr">
        <is>
          <t></t>
        </is>
      </c>
    </row>
    <row r="557" ht="28.5" customHeight="1" s="71">
      <c r="A557" s="68" t="n">
        <v>1987</v>
      </c>
      <c r="B557" s="68" t="inlineStr">
        <is>
          <t>,!(x</t>
        </is>
      </c>
      <c r="C557" s="68" t="inlineStr">
        <is>
          <t>,/X)</t>
        </is>
      </c>
      <c r="D557" s="66" t="inlineStr">
        <is>
          <t>  </t>
        </is>
      </c>
      <c r="E557" s="66" t="inlineStr">
        <is>
          <t> </t>
        </is>
      </c>
    </row>
    <row r="558" ht="28.5" customHeight="1" s="71">
      <c r="A558" s="68" t="n">
        <v>1986</v>
      </c>
      <c r="B558" s="68" t="inlineStr">
        <is>
          <t>'~!x</t>
        </is>
      </c>
      <c r="C558" s="68" t="inlineStr">
        <is>
          <t>')//X</t>
        </is>
      </c>
      <c r="D558" s="66" t="inlineStr">
        <is>
          <t>  </t>
        </is>
      </c>
      <c r="E558" s="66" t="inlineStr">
        <is>
          <t> </t>
        </is>
      </c>
    </row>
    <row r="559" ht="28.5" customHeight="1" s="71">
      <c r="A559" s="68" t="n">
        <v>1985</v>
      </c>
      <c r="B559" s="68" t="inlineStr">
        <is>
          <t>`.!(x</t>
        </is>
      </c>
      <c r="C559" s="68" t="inlineStr">
        <is>
          <t>`./X)</t>
        </is>
      </c>
      <c r="D559" s="66" t="inlineStr">
        <is>
          <t>   </t>
        </is>
      </c>
      <c r="E559" s="66" t="inlineStr">
        <is>
          <t>  </t>
        </is>
      </c>
    </row>
    <row r="560" ht="28.5" customHeight="1" s="71">
      <c r="A560" s="68" t="n">
        <v>1984</v>
      </c>
      <c r="B560" s="68" t="inlineStr">
        <is>
          <t>.!(x</t>
        </is>
      </c>
      <c r="C560" s="68" t="inlineStr">
        <is>
          <t>./X)</t>
        </is>
      </c>
      <c r="D560" s="66" t="inlineStr">
        <is>
          <t>  </t>
        </is>
      </c>
      <c r="E560" s="66" t="inlineStr">
        <is>
          <t> </t>
        </is>
      </c>
    </row>
    <row r="561" ht="28.5" customHeight="1" s="71">
      <c r="A561" s="68" t="n">
        <v>1983</v>
      </c>
      <c r="B561" s="68" t="inlineStr">
        <is>
          <t>`~!x</t>
        </is>
      </c>
      <c r="C561" s="68" t="inlineStr">
        <is>
          <t>`)//X</t>
        </is>
      </c>
      <c r="D561" s="66" t="inlineStr">
        <is>
          <t>  </t>
        </is>
      </c>
      <c r="E561" s="66" t="inlineStr">
        <is>
          <t> </t>
        </is>
      </c>
    </row>
    <row r="562" ht="28.5" customHeight="1" s="71">
      <c r="A562" s="68" t="n">
        <v>1982</v>
      </c>
      <c r="B562" s="68" t="inlineStr">
        <is>
          <t>~!x</t>
        </is>
      </c>
      <c r="C562" s="68" t="inlineStr">
        <is>
          <t>)//X</t>
        </is>
      </c>
      <c r="D562" s="66" t="inlineStr">
        <is>
          <t> </t>
        </is>
      </c>
      <c r="E562" s="66" t="inlineStr">
        <is>
          <t></t>
        </is>
      </c>
    </row>
    <row r="563" ht="28.5" customHeight="1" s="71">
      <c r="A563" s="68" t="n">
        <v>1981</v>
      </c>
      <c r="B563" s="68" t="inlineStr">
        <is>
          <t>`)!(x</t>
        </is>
      </c>
      <c r="C563" s="68" t="inlineStr">
        <is>
          <t>`//X</t>
        </is>
      </c>
      <c r="D563" s="66" t="inlineStr">
        <is>
          <t>  </t>
        </is>
      </c>
      <c r="E563" s="66" t="inlineStr">
        <is>
          <t> </t>
        </is>
      </c>
    </row>
    <row r="564" ht="28.5" customHeight="1" s="71">
      <c r="A564" s="68" t="n">
        <v>1980</v>
      </c>
      <c r="B564" s="68" t="inlineStr">
        <is>
          <t>)!(x</t>
        </is>
      </c>
      <c r="C564" s="68" t="inlineStr">
        <is>
          <t>//X</t>
        </is>
      </c>
      <c r="D564" s="66" t="inlineStr">
        <is>
          <t> </t>
        </is>
      </c>
      <c r="E564" s="66" t="inlineStr">
        <is>
          <t></t>
        </is>
      </c>
    </row>
    <row r="565" ht="28.5" customHeight="1" s="71">
      <c r="A565" s="68" t="n">
        <v>1979</v>
      </c>
      <c r="B565" s="68" t="inlineStr">
        <is>
          <t>,)!(x</t>
        </is>
      </c>
      <c r="C565" s="68" t="inlineStr">
        <is>
          <t>,//X</t>
        </is>
      </c>
      <c r="D565" s="66" t="inlineStr">
        <is>
          <t>  </t>
        </is>
      </c>
      <c r="E565" s="66" t="inlineStr">
        <is>
          <t> </t>
        </is>
      </c>
    </row>
    <row r="566" ht="28.5" customHeight="1" s="71">
      <c r="A566" s="68" t="n">
        <v>1978</v>
      </c>
      <c r="B566" s="68" t="inlineStr">
        <is>
          <t>,,)!(x</t>
        </is>
      </c>
      <c r="C566" s="68" t="inlineStr">
        <is>
          <t>,,//X</t>
        </is>
      </c>
      <c r="D566" s="66" t="inlineStr">
        <is>
          <t>  </t>
        </is>
      </c>
      <c r="E566" s="66" t="inlineStr">
        <is>
          <t> </t>
        </is>
      </c>
    </row>
    <row r="567" ht="28.5" customHeight="1" s="71">
      <c r="A567" s="68" t="n">
        <v>1977</v>
      </c>
      <c r="B567" s="68" t="inlineStr">
        <is>
          <t>`.)!(x</t>
        </is>
      </c>
      <c r="C567" s="68" t="inlineStr">
        <is>
          <t>`.//X</t>
        </is>
      </c>
      <c r="D567" s="66" t="inlineStr">
        <is>
          <t>   </t>
        </is>
      </c>
      <c r="E567" s="66" t="inlineStr">
        <is>
          <t>  </t>
        </is>
      </c>
    </row>
    <row r="568" ht="28.5" customHeight="1" s="71">
      <c r="A568" s="68" t="n">
        <v>1976</v>
      </c>
      <c r="B568" s="68" t="inlineStr">
        <is>
          <t>.)!(x</t>
        </is>
      </c>
      <c r="C568" s="68" t="inlineStr">
        <is>
          <t>.//X</t>
        </is>
      </c>
      <c r="D568" s="66" t="inlineStr">
        <is>
          <t>  </t>
        </is>
      </c>
      <c r="E568" s="66" t="inlineStr">
        <is>
          <t> </t>
        </is>
      </c>
    </row>
    <row r="569" ht="28.5" customHeight="1" s="71">
      <c r="A569" s="68" t="n">
        <v>1975</v>
      </c>
      <c r="B569" s="68" t="inlineStr">
        <is>
          <t>)~!x</t>
        </is>
      </c>
      <c r="C569" s="68" t="inlineStr">
        <is>
          <t>~X\</t>
        </is>
      </c>
      <c r="D569" s="66" t="inlineStr">
        <is>
          <t> </t>
        </is>
      </c>
      <c r="E569" s="66" t="inlineStr">
        <is>
          <t></t>
        </is>
      </c>
    </row>
    <row r="570" ht="28.5" customHeight="1" s="71">
      <c r="A570" s="68" t="n">
        <v>1974</v>
      </c>
      <c r="B570" s="68" t="inlineStr">
        <is>
          <t>'~!(x</t>
        </is>
      </c>
      <c r="C570" s="68" t="inlineStr">
        <is>
          <t>'(X(</t>
        </is>
      </c>
      <c r="D570" s="66" t="inlineStr">
        <is>
          <t>  </t>
        </is>
      </c>
      <c r="E570" s="66" t="inlineStr">
        <is>
          <t> </t>
        </is>
      </c>
    </row>
    <row r="571" ht="28.5" customHeight="1" s="71">
      <c r="A571" s="68" t="n">
        <v>1973</v>
      </c>
      <c r="B571" s="68" t="inlineStr">
        <is>
          <t>,'~!(x</t>
        </is>
      </c>
      <c r="C571" s="68" t="inlineStr">
        <is>
          <t>,'(X(</t>
        </is>
      </c>
      <c r="D571" s="66" t="inlineStr">
        <is>
          <t>   </t>
        </is>
      </c>
      <c r="E571" s="66" t="inlineStr">
        <is>
          <t>  </t>
        </is>
      </c>
    </row>
    <row r="572" ht="28.5" customHeight="1" s="71">
      <c r="A572" s="68" t="n">
        <v>1972</v>
      </c>
      <c r="B572" s="68" t="inlineStr">
        <is>
          <t>``~!(x</t>
        </is>
      </c>
      <c r="C572" s="68" t="inlineStr">
        <is>
          <t>``(X(</t>
        </is>
      </c>
      <c r="D572" s="66" t="inlineStr">
        <is>
          <t>  </t>
        </is>
      </c>
      <c r="E572" s="66" t="inlineStr">
        <is>
          <t> </t>
        </is>
      </c>
    </row>
    <row r="573" ht="28.5" customHeight="1" s="71">
      <c r="A573" s="68" t="n">
        <v>1971</v>
      </c>
      <c r="B573" s="68" t="inlineStr">
        <is>
          <t>`~!(x</t>
        </is>
      </c>
      <c r="C573" s="68" t="inlineStr">
        <is>
          <t>`(X(</t>
        </is>
      </c>
      <c r="D573" s="66" t="inlineStr">
        <is>
          <t>  </t>
        </is>
      </c>
      <c r="E573" s="66" t="inlineStr">
        <is>
          <t> </t>
        </is>
      </c>
    </row>
    <row r="574" ht="28.5" customHeight="1" s="71">
      <c r="A574" s="68" t="n">
        <v>1970</v>
      </c>
      <c r="B574" s="68" t="inlineStr">
        <is>
          <t>~!(x</t>
        </is>
      </c>
      <c r="C574" s="68" t="inlineStr">
        <is>
          <t>(X(</t>
        </is>
      </c>
      <c r="D574" s="66" t="inlineStr">
        <is>
          <t> </t>
        </is>
      </c>
      <c r="E574" s="66" t="inlineStr">
        <is>
          <t></t>
        </is>
      </c>
    </row>
    <row r="575" ht="28.5" customHeight="1" s="71">
      <c r="A575" s="68" t="n">
        <v>1969</v>
      </c>
      <c r="B575" s="68" t="inlineStr">
        <is>
          <t>,~!(x</t>
        </is>
      </c>
      <c r="C575" s="68" t="inlineStr">
        <is>
          <t>,(X(</t>
        </is>
      </c>
      <c r="D575" s="66" t="inlineStr">
        <is>
          <t>  </t>
        </is>
      </c>
      <c r="E575" s="66" t="inlineStr">
        <is>
          <t> </t>
        </is>
      </c>
    </row>
    <row r="576" ht="28.5" customHeight="1" s="71">
      <c r="A576" s="68" t="n">
        <v>1968</v>
      </c>
      <c r="B576" s="68" t="inlineStr">
        <is>
          <t>``!~x</t>
        </is>
      </c>
      <c r="C576" s="68" t="inlineStr">
        <is>
          <t>``/X~</t>
        </is>
      </c>
      <c r="D576" s="66" t="inlineStr">
        <is>
          <t>  </t>
        </is>
      </c>
      <c r="E576" s="66" t="inlineStr">
        <is>
          <t> </t>
        </is>
      </c>
    </row>
    <row r="577" ht="28.5" customHeight="1" s="71">
      <c r="A577" s="68" t="n">
        <v>1967</v>
      </c>
      <c r="B577" s="68" t="inlineStr">
        <is>
          <t>`!~x</t>
        </is>
      </c>
      <c r="C577" s="68" t="inlineStr">
        <is>
          <t>`/X~</t>
        </is>
      </c>
      <c r="D577" s="66" t="inlineStr">
        <is>
          <t>  </t>
        </is>
      </c>
      <c r="E577" s="66" t="inlineStr">
        <is>
          <t> </t>
        </is>
      </c>
    </row>
    <row r="578" ht="28.5" customHeight="1" s="71">
      <c r="A578" s="68" t="n">
        <v>1966</v>
      </c>
      <c r="B578" s="68" t="inlineStr">
        <is>
          <t>!~x</t>
        </is>
      </c>
      <c r="C578" s="68" t="inlineStr">
        <is>
          <t>/X~</t>
        </is>
      </c>
      <c r="D578" s="66" t="inlineStr">
        <is>
          <t> </t>
        </is>
      </c>
      <c r="E578" s="66" t="inlineStr">
        <is>
          <t></t>
        </is>
      </c>
    </row>
    <row r="579" ht="28.5" customHeight="1" s="71">
      <c r="A579" s="68" t="n">
        <v>1965</v>
      </c>
      <c r="B579" s="68" t="inlineStr">
        <is>
          <t>,!~x</t>
        </is>
      </c>
      <c r="C579" s="68" t="inlineStr">
        <is>
          <t>,/X~</t>
        </is>
      </c>
      <c r="D579" s="66" t="inlineStr">
        <is>
          <t>  </t>
        </is>
      </c>
      <c r="E579" s="66" t="inlineStr">
        <is>
          <t> </t>
        </is>
      </c>
    </row>
    <row r="580" ht="28.5" customHeight="1" s="71">
      <c r="A580" s="68" t="n">
        <v>1964</v>
      </c>
      <c r="B580" s="68" t="inlineStr">
        <is>
          <t>~~!x</t>
        </is>
      </c>
      <c r="C580" s="68" t="inlineStr">
        <is>
          <t>~X)</t>
        </is>
      </c>
      <c r="D580" s="66" t="inlineStr">
        <is>
          <t> </t>
        </is>
      </c>
      <c r="E580" s="66" t="inlineStr">
        <is>
          <t></t>
        </is>
      </c>
    </row>
    <row r="581" ht="28.5" customHeight="1" s="71">
      <c r="A581" s="68" t="n">
        <v>1963</v>
      </c>
      <c r="B581" s="68" t="inlineStr">
        <is>
          <t>,~~!x</t>
        </is>
      </c>
      <c r="C581" s="68" t="inlineStr">
        <is>
          <t>,~X)</t>
        </is>
      </c>
      <c r="D581" s="66" t="inlineStr">
        <is>
          <t>  </t>
        </is>
      </c>
      <c r="E581" s="66" t="inlineStr">
        <is>
          <t> </t>
        </is>
      </c>
    </row>
    <row r="582" ht="28.5" customHeight="1" s="71">
      <c r="A582" s="68" t="n">
        <v>1962</v>
      </c>
      <c r="B582" s="68" t="inlineStr">
        <is>
          <t>,,~~!x</t>
        </is>
      </c>
      <c r="C582" s="68" t="inlineStr">
        <is>
          <t>,,~X)</t>
        </is>
      </c>
      <c r="D582" s="66" t="inlineStr">
        <is>
          <t>  </t>
        </is>
      </c>
      <c r="E582" s="66" t="inlineStr">
        <is>
          <t> </t>
        </is>
      </c>
    </row>
    <row r="583" ht="28.5" customHeight="1" s="71">
      <c r="A583" s="68" t="n">
        <v>1961</v>
      </c>
      <c r="B583" s="68" t="inlineStr">
        <is>
          <t>`'\!x</t>
        </is>
      </c>
      <c r="C583" s="68" t="inlineStr">
        <is>
          <t>`'X\</t>
        </is>
      </c>
      <c r="D583" s="66" t="inlineStr">
        <is>
          <t>   </t>
        </is>
      </c>
      <c r="E583" s="66" t="inlineStr">
        <is>
          <t>  </t>
        </is>
      </c>
    </row>
    <row r="584" ht="28.5" customHeight="1" s="71">
      <c r="A584" s="68" t="n">
        <v>1960</v>
      </c>
      <c r="B584" s="68" t="inlineStr">
        <is>
          <t>'\!x</t>
        </is>
      </c>
      <c r="C584" s="68" t="inlineStr">
        <is>
          <t>'X\</t>
        </is>
      </c>
      <c r="D584" s="66" t="inlineStr">
        <is>
          <t>  </t>
        </is>
      </c>
      <c r="E584" s="66" t="inlineStr">
        <is>
          <t> </t>
        </is>
      </c>
    </row>
    <row r="585" ht="28.5" customHeight="1" s="71">
      <c r="A585" s="68" t="n">
        <v>1959</v>
      </c>
      <c r="B585" s="68" t="inlineStr">
        <is>
          <t>)!~x</t>
        </is>
      </c>
      <c r="C585" s="68" t="inlineStr">
        <is>
          <t>(X</t>
        </is>
      </c>
      <c r="D585" s="66" t="inlineStr">
        <is>
          <t> </t>
        </is>
      </c>
      <c r="E585" s="66" t="inlineStr">
        <is>
          <t></t>
        </is>
      </c>
    </row>
    <row r="586" ht="28.5" customHeight="1" s="71">
      <c r="A586" s="68" t="n">
        <v>1958</v>
      </c>
      <c r="B586" s="68" t="inlineStr">
        <is>
          <t>``\!x</t>
        </is>
      </c>
      <c r="C586" s="68" t="inlineStr">
        <is>
          <t>``X\</t>
        </is>
      </c>
      <c r="D586" s="66" t="inlineStr">
        <is>
          <t>  </t>
        </is>
      </c>
      <c r="E586" s="66" t="inlineStr">
        <is>
          <t> </t>
        </is>
      </c>
    </row>
    <row r="587" ht="28.5" customHeight="1" s="71">
      <c r="A587" s="68" t="n">
        <v>1957</v>
      </c>
      <c r="B587" s="68" t="inlineStr">
        <is>
          <t>`\!x</t>
        </is>
      </c>
      <c r="C587" s="68" t="inlineStr">
        <is>
          <t>`X\</t>
        </is>
      </c>
      <c r="D587" s="66" t="inlineStr">
        <is>
          <t>  </t>
        </is>
      </c>
      <c r="E587" s="66" t="inlineStr">
        <is>
          <t> </t>
        </is>
      </c>
    </row>
    <row r="588" ht="28.5" customHeight="1" s="71">
      <c r="A588" s="68" t="n">
        <v>1956</v>
      </c>
      <c r="B588" s="68" t="inlineStr">
        <is>
          <t>\!x</t>
        </is>
      </c>
      <c r="C588" s="68" t="inlineStr">
        <is>
          <t>X\</t>
        </is>
      </c>
      <c r="D588" s="66" t="inlineStr">
        <is>
          <t> </t>
        </is>
      </c>
      <c r="E588" s="66" t="inlineStr">
        <is>
          <t></t>
        </is>
      </c>
    </row>
    <row r="589" ht="28.5" customHeight="1" s="71">
      <c r="A589" s="68" t="n">
        <v>1955</v>
      </c>
      <c r="B589" s="68" t="inlineStr">
        <is>
          <t>,\!x</t>
        </is>
      </c>
      <c r="C589" s="68" t="inlineStr">
        <is>
          <t>,X\</t>
        </is>
      </c>
      <c r="D589" s="66" t="inlineStr">
        <is>
          <t>  </t>
        </is>
      </c>
      <c r="E589" s="66" t="inlineStr">
        <is>
          <t> </t>
        </is>
      </c>
    </row>
    <row r="590" ht="28.5" customHeight="1" s="71">
      <c r="A590" s="68" t="n">
        <v>1954</v>
      </c>
      <c r="B590" s="68" t="inlineStr">
        <is>
          <t>,,\!x</t>
        </is>
      </c>
      <c r="C590" s="68" t="inlineStr">
        <is>
          <t>,,X\</t>
        </is>
      </c>
      <c r="D590" s="66" t="inlineStr">
        <is>
          <t>  </t>
        </is>
      </c>
      <c r="E590" s="66" t="inlineStr">
        <is>
          <t> </t>
        </is>
      </c>
    </row>
    <row r="591" ht="28.5" customHeight="1" s="71">
      <c r="A591" s="68" t="n">
        <v>1953</v>
      </c>
      <c r="B591" s="68" t="inlineStr">
        <is>
          <t>')\!x</t>
        </is>
      </c>
      <c r="C591" s="68" t="inlineStr">
        <is>
          <t>')X)</t>
        </is>
      </c>
      <c r="D591" s="66" t="inlineStr">
        <is>
          <t>  </t>
        </is>
      </c>
      <c r="E591" s="66" t="inlineStr">
        <is>
          <t> </t>
        </is>
      </c>
    </row>
    <row r="592" ht="28.5" customHeight="1" s="71">
      <c r="A592" s="68" t="n">
        <v>1952</v>
      </c>
      <c r="B592" s="68" t="inlineStr">
        <is>
          <t>.\!x</t>
        </is>
      </c>
      <c r="C592" s="68" t="inlineStr">
        <is>
          <t>.X\</t>
        </is>
      </c>
      <c r="D592" s="66" t="inlineStr">
        <is>
          <t>  </t>
        </is>
      </c>
      <c r="E592" s="66" t="inlineStr">
        <is>
          <t> </t>
        </is>
      </c>
    </row>
    <row r="593" ht="28.5" customHeight="1" s="71">
      <c r="A593" s="68" t="n">
        <v>1951</v>
      </c>
      <c r="B593" s="68" t="inlineStr">
        <is>
          <t>,.\!x</t>
        </is>
      </c>
      <c r="C593" s="68" t="inlineStr">
        <is>
          <t>,.X\</t>
        </is>
      </c>
      <c r="D593" s="66" t="inlineStr">
        <is>
          <t>   </t>
        </is>
      </c>
      <c r="E593" s="66" t="inlineStr">
        <is>
          <t>  </t>
        </is>
      </c>
    </row>
    <row r="594" ht="28.5" customHeight="1" s="71">
      <c r="A594" s="68" t="n">
        <v>1950</v>
      </c>
      <c r="B594" s="68" t="inlineStr">
        <is>
          <t>``)\!x</t>
        </is>
      </c>
      <c r="C594" s="68" t="inlineStr">
        <is>
          <t>``)X)</t>
        </is>
      </c>
      <c r="D594" s="66" t="inlineStr">
        <is>
          <t>  </t>
        </is>
      </c>
      <c r="E594" s="66" t="inlineStr">
        <is>
          <t> </t>
        </is>
      </c>
    </row>
    <row r="595" ht="28.5" customHeight="1" s="71">
      <c r="A595" s="68" t="n">
        <v>1949</v>
      </c>
      <c r="B595" s="68" t="inlineStr">
        <is>
          <t>`)\!x</t>
        </is>
      </c>
      <c r="C595" s="68" t="inlineStr">
        <is>
          <t>`)X)</t>
        </is>
      </c>
      <c r="D595" s="66" t="inlineStr">
        <is>
          <t>  </t>
        </is>
      </c>
      <c r="E595" s="66" t="inlineStr">
        <is>
          <t> </t>
        </is>
      </c>
    </row>
    <row r="596" ht="28.5" customHeight="1" s="71">
      <c r="A596" s="68" t="n">
        <v>1948</v>
      </c>
      <c r="B596" s="68" t="inlineStr">
        <is>
          <t>)\!x</t>
        </is>
      </c>
      <c r="C596" s="68" t="inlineStr">
        <is>
          <t>)X)</t>
        </is>
      </c>
      <c r="D596" s="66" t="inlineStr">
        <is>
          <t> </t>
        </is>
      </c>
      <c r="E596" s="66" t="inlineStr">
        <is>
          <t></t>
        </is>
      </c>
    </row>
    <row r="597" ht="28.5" customHeight="1" s="71">
      <c r="A597" s="68" t="n">
        <v>1947</v>
      </c>
      <c r="B597" s="68" t="inlineStr">
        <is>
          <t>`'!)x</t>
        </is>
      </c>
      <c r="C597" s="68" t="inlineStr">
        <is>
          <t>`'X)</t>
        </is>
      </c>
      <c r="D597" s="66" t="inlineStr">
        <is>
          <t>   </t>
        </is>
      </c>
      <c r="E597" s="66" t="inlineStr">
        <is>
          <t>  </t>
        </is>
      </c>
    </row>
    <row r="598" ht="28.5" customHeight="1" s="71">
      <c r="A598" s="68" t="n">
        <v>1946</v>
      </c>
      <c r="B598" s="68" t="inlineStr">
        <is>
          <t>'!)x</t>
        </is>
      </c>
      <c r="C598" s="68" t="inlineStr">
        <is>
          <t>'X)</t>
        </is>
      </c>
      <c r="D598" s="66" t="inlineStr">
        <is>
          <t>  </t>
        </is>
      </c>
      <c r="E598" s="66" t="inlineStr">
        <is>
          <t> </t>
        </is>
      </c>
    </row>
    <row r="599" ht="28.5" customHeight="1" s="71">
      <c r="A599" s="68" t="n">
        <v>1945</v>
      </c>
      <c r="B599" s="68" t="inlineStr">
        <is>
          <t>,'!)x</t>
        </is>
      </c>
      <c r="C599" s="68" t="inlineStr">
        <is>
          <t>,'X)</t>
        </is>
      </c>
      <c r="D599" s="66" t="inlineStr">
        <is>
          <t>   </t>
        </is>
      </c>
      <c r="E599" s="66" t="inlineStr">
        <is>
          <t>  </t>
        </is>
      </c>
    </row>
    <row r="600" ht="28.5" customHeight="1" s="71">
      <c r="A600" s="68" t="n">
        <v>1944</v>
      </c>
      <c r="B600" s="68" t="inlineStr">
        <is>
          <t>``!)x</t>
        </is>
      </c>
      <c r="C600" s="68" t="inlineStr">
        <is>
          <t>``X)</t>
        </is>
      </c>
      <c r="D600" s="66" t="inlineStr">
        <is>
          <t>  </t>
        </is>
      </c>
      <c r="E600" s="66" t="inlineStr">
        <is>
          <t> </t>
        </is>
      </c>
    </row>
    <row r="601" ht="28.5" customHeight="1" s="71">
      <c r="A601" s="68" t="n">
        <v>1943</v>
      </c>
      <c r="B601" s="68" t="inlineStr">
        <is>
          <t>`!)x</t>
        </is>
      </c>
      <c r="C601" s="68" t="inlineStr">
        <is>
          <t>`X)</t>
        </is>
      </c>
      <c r="D601" s="66" t="inlineStr">
        <is>
          <t>  </t>
        </is>
      </c>
      <c r="E601" s="66" t="inlineStr">
        <is>
          <t> </t>
        </is>
      </c>
    </row>
    <row r="602" ht="28.5" customHeight="1" s="71">
      <c r="A602" s="68" t="n">
        <v>1942</v>
      </c>
      <c r="B602" s="68" t="inlineStr">
        <is>
          <t>!)x</t>
        </is>
      </c>
      <c r="C602" s="68" t="inlineStr">
        <is>
          <t>X)</t>
        </is>
      </c>
      <c r="D602" s="66" t="inlineStr">
        <is>
          <t> </t>
        </is>
      </c>
      <c r="E602" s="66" t="inlineStr">
        <is>
          <t></t>
        </is>
      </c>
    </row>
    <row r="603" ht="28.5" customHeight="1" s="71">
      <c r="A603" s="68" t="n">
        <v>1941</v>
      </c>
      <c r="B603" s="68" t="inlineStr">
        <is>
          <t>,!)x</t>
        </is>
      </c>
      <c r="C603" s="68" t="inlineStr">
        <is>
          <t>,X)</t>
        </is>
      </c>
      <c r="D603" s="66" t="inlineStr">
        <is>
          <t>  </t>
        </is>
      </c>
      <c r="E603" s="66" t="inlineStr">
        <is>
          <t> </t>
        </is>
      </c>
    </row>
    <row r="604" ht="28.5" customHeight="1" s="71">
      <c r="A604" s="68" t="n">
        <v>1940</v>
      </c>
      <c r="B604" s="68" t="inlineStr">
        <is>
          <t>,,!)x</t>
        </is>
      </c>
      <c r="C604" s="68" t="inlineStr">
        <is>
          <t>,,X)</t>
        </is>
      </c>
      <c r="D604" s="66" t="inlineStr">
        <is>
          <t>  </t>
        </is>
      </c>
      <c r="E604" s="66" t="inlineStr">
        <is>
          <t> </t>
        </is>
      </c>
    </row>
    <row r="605" ht="28.5" customHeight="1" s="71">
      <c r="A605" s="68" t="n">
        <v>1939</v>
      </c>
      <c r="B605" s="68" t="inlineStr">
        <is>
          <t>`.!)x</t>
        </is>
      </c>
      <c r="C605" s="68" t="inlineStr">
        <is>
          <t>`.X)</t>
        </is>
      </c>
      <c r="D605" s="66" t="inlineStr">
        <is>
          <t>   </t>
        </is>
      </c>
      <c r="E605" s="66" t="inlineStr">
        <is>
          <t>  </t>
        </is>
      </c>
    </row>
    <row r="606" ht="28.5" customHeight="1" s="71">
      <c r="A606" s="68" t="n">
        <v>1938</v>
      </c>
      <c r="B606" s="68" t="inlineStr">
        <is>
          <t>.!)x</t>
        </is>
      </c>
      <c r="C606" s="68" t="inlineStr">
        <is>
          <t>.X)</t>
        </is>
      </c>
      <c r="D606" s="66" t="inlineStr">
        <is>
          <t>  </t>
        </is>
      </c>
      <c r="E606" s="66" t="inlineStr">
        <is>
          <t> </t>
        </is>
      </c>
    </row>
    <row r="607" ht="28.5" customHeight="1" s="71">
      <c r="A607" s="68" t="n">
        <v>1937</v>
      </c>
      <c r="B607" s="68" t="inlineStr">
        <is>
          <t>,.!)x</t>
        </is>
      </c>
      <c r="C607" s="68" t="inlineStr">
        <is>
          <t>,.X)</t>
        </is>
      </c>
      <c r="D607" s="66" t="inlineStr">
        <is>
          <t>   </t>
        </is>
      </c>
      <c r="E607" s="66" t="inlineStr">
        <is>
          <t>  </t>
        </is>
      </c>
    </row>
    <row r="608" ht="28.5" customHeight="1" s="71">
      <c r="A608" s="68" t="n">
        <v>1936</v>
      </c>
      <c r="B608" s="68" t="inlineStr">
        <is>
          <t>`)!)x</t>
        </is>
      </c>
      <c r="C608" s="68" t="inlineStr">
        <is>
          <t>`)/X</t>
        </is>
      </c>
      <c r="D608" s="66" t="inlineStr">
        <is>
          <t>  </t>
        </is>
      </c>
      <c r="E608" s="66" t="inlineStr">
        <is>
          <t> </t>
        </is>
      </c>
    </row>
    <row r="609" ht="28.5" customHeight="1" s="71">
      <c r="A609" s="68" t="n">
        <v>1935</v>
      </c>
      <c r="B609" s="68" t="inlineStr">
        <is>
          <t>)!)x</t>
        </is>
      </c>
      <c r="C609" s="68" t="inlineStr">
        <is>
          <t>)/X</t>
        </is>
      </c>
      <c r="D609" s="66" t="inlineStr">
        <is>
          <t> </t>
        </is>
      </c>
      <c r="E609" s="66" t="inlineStr">
        <is>
          <t></t>
        </is>
      </c>
    </row>
    <row r="610" ht="28.5" customHeight="1" s="71">
      <c r="A610" s="68" t="n">
        <v>1934</v>
      </c>
      <c r="B610" s="68" t="inlineStr">
        <is>
          <t>'(!x</t>
        </is>
      </c>
      <c r="C610" s="68" t="inlineStr">
        <is>
          <t>')X~</t>
        </is>
      </c>
      <c r="D610" s="66" t="inlineStr">
        <is>
          <t>  </t>
        </is>
      </c>
      <c r="E610" s="66" t="inlineStr">
        <is>
          <t> </t>
        </is>
      </c>
    </row>
    <row r="611" ht="28.5" customHeight="1" s="71">
      <c r="A611" s="68" t="n">
        <v>1933</v>
      </c>
      <c r="B611" s="68" t="inlineStr">
        <is>
          <t>!/x</t>
        </is>
      </c>
      <c r="C611" s="68" t="inlineStr">
        <is>
          <t>/X</t>
        </is>
      </c>
      <c r="D611" s="66" t="inlineStr">
        <is>
          <t> </t>
        </is>
      </c>
      <c r="E611" s="66" t="inlineStr">
        <is>
          <t></t>
        </is>
      </c>
    </row>
    <row r="612" ht="28.5" customHeight="1" s="71">
      <c r="A612" s="68" t="n">
        <v>1932</v>
      </c>
      <c r="B612" s="68" t="inlineStr">
        <is>
          <t>,!/x</t>
        </is>
      </c>
      <c r="C612" s="68" t="inlineStr">
        <is>
          <t>,/X</t>
        </is>
      </c>
      <c r="D612" s="66" t="inlineStr">
        <is>
          <t>  </t>
        </is>
      </c>
      <c r="E612" s="66" t="inlineStr">
        <is>
          <t> </t>
        </is>
      </c>
    </row>
    <row r="613" ht="28.5" customHeight="1" s="71">
      <c r="A613" s="68" t="n">
        <v>1931</v>
      </c>
      <c r="B613" s="68" t="inlineStr">
        <is>
          <t>`(!x</t>
        </is>
      </c>
      <c r="C613" s="68" t="inlineStr">
        <is>
          <t>`)X~</t>
        </is>
      </c>
      <c r="D613" s="66" t="inlineStr">
        <is>
          <t>  </t>
        </is>
      </c>
      <c r="E613" s="66" t="inlineStr">
        <is>
          <t> </t>
        </is>
      </c>
    </row>
    <row r="614" ht="28.5" customHeight="1" s="71">
      <c r="A614" s="68" t="n">
        <v>1930</v>
      </c>
      <c r="B614" s="68" t="inlineStr">
        <is>
          <t>(!x</t>
        </is>
      </c>
      <c r="C614" s="68" t="inlineStr">
        <is>
          <t>)X~</t>
        </is>
      </c>
      <c r="D614" s="66" t="inlineStr">
        <is>
          <t> </t>
        </is>
      </c>
      <c r="E614" s="66" t="inlineStr">
        <is>
          <t></t>
        </is>
      </c>
    </row>
    <row r="615" ht="28.5" customHeight="1" s="71">
      <c r="A615" s="68" t="n">
        <v>1929</v>
      </c>
      <c r="B615" s="68" t="inlineStr">
        <is>
          <t>,(!x</t>
        </is>
      </c>
      <c r="C615" s="68" t="inlineStr">
        <is>
          <t>,)X~</t>
        </is>
      </c>
      <c r="D615" s="66" t="inlineStr">
        <is>
          <t>  </t>
        </is>
      </c>
      <c r="E615" s="66" t="inlineStr">
        <is>
          <t> </t>
        </is>
      </c>
    </row>
    <row r="616" ht="28.5" customHeight="1" s="71">
      <c r="A616" s="68" t="n">
        <v>1928</v>
      </c>
      <c r="B616" s="68" t="inlineStr">
        <is>
          <t>,,(!x</t>
        </is>
      </c>
      <c r="C616" s="68" t="inlineStr">
        <is>
          <t>,,)X~</t>
        </is>
      </c>
      <c r="D616" s="66" t="inlineStr">
        <is>
          <t>  </t>
        </is>
      </c>
      <c r="E616" s="66" t="inlineStr">
        <is>
          <t> </t>
        </is>
      </c>
    </row>
    <row r="617" ht="28.5" customHeight="1" s="71">
      <c r="A617" s="68" t="n">
        <v>1927</v>
      </c>
      <c r="B617" s="68" t="inlineStr">
        <is>
          <t>`.(!x</t>
        </is>
      </c>
      <c r="C617" s="68" t="inlineStr">
        <is>
          <t>`.)X~</t>
        </is>
      </c>
      <c r="D617" s="66" t="inlineStr">
        <is>
          <t>   </t>
        </is>
      </c>
      <c r="E617" s="66" t="inlineStr">
        <is>
          <t>  </t>
        </is>
      </c>
    </row>
    <row r="618" ht="28.5" customHeight="1" s="71">
      <c r="A618" s="68" t="n">
        <v>1926</v>
      </c>
      <c r="B618" s="68" t="inlineStr">
        <is>
          <t>.(!x</t>
        </is>
      </c>
      <c r="C618" s="68" t="inlineStr">
        <is>
          <t>.)X~</t>
        </is>
      </c>
      <c r="D618" s="66" t="inlineStr">
        <is>
          <t>  </t>
        </is>
      </c>
      <c r="E618" s="66" t="inlineStr">
        <is>
          <t> </t>
        </is>
      </c>
    </row>
    <row r="619" ht="28.5" customHeight="1" s="71">
      <c r="A619" s="68" t="n">
        <v>1925</v>
      </c>
      <c r="B619" s="68" t="inlineStr">
        <is>
          <t>`~!)x</t>
        </is>
      </c>
      <c r="C619" s="68" t="inlineStr">
        <is>
          <t>`~~X</t>
        </is>
      </c>
      <c r="D619" s="66" t="inlineStr">
        <is>
          <t>  </t>
        </is>
      </c>
      <c r="E619" s="66" t="inlineStr">
        <is>
          <t> </t>
        </is>
      </c>
    </row>
    <row r="620" ht="28.5" customHeight="1" s="71">
      <c r="A620" s="68" t="n">
        <v>1924</v>
      </c>
      <c r="B620" s="68" t="inlineStr">
        <is>
          <t>~!)x</t>
        </is>
      </c>
      <c r="C620" s="68" t="inlineStr">
        <is>
          <t>~~X</t>
        </is>
      </c>
      <c r="D620" s="66" t="inlineStr">
        <is>
          <t> </t>
        </is>
      </c>
      <c r="E620" s="66" t="inlineStr">
        <is>
          <t></t>
        </is>
      </c>
    </row>
    <row r="621" ht="28.5" customHeight="1" s="71">
      <c r="A621" s="68" t="n">
        <v>1923</v>
      </c>
      <c r="B621" s="68" t="inlineStr">
        <is>
          <t>,~!)x</t>
        </is>
      </c>
      <c r="C621" s="68" t="inlineStr">
        <is>
          <t>,~~X</t>
        </is>
      </c>
      <c r="D621" s="66" t="inlineStr">
        <is>
          <t>  </t>
        </is>
      </c>
      <c r="E621" s="66" t="inlineStr">
        <is>
          <t> </t>
        </is>
      </c>
    </row>
    <row r="622" ht="28.5" customHeight="1" s="71">
      <c r="A622" s="68" t="n">
        <v>1922</v>
      </c>
      <c r="B622" s="68" t="inlineStr">
        <is>
          <t>`'(!(x</t>
        </is>
      </c>
      <c r="C622" s="68" t="inlineStr">
        <is>
          <t>`'~X(</t>
        </is>
      </c>
      <c r="D622" s="66" t="inlineStr">
        <is>
          <t>   </t>
        </is>
      </c>
      <c r="E622" s="66" t="inlineStr">
        <is>
          <t>  </t>
        </is>
      </c>
    </row>
    <row r="623" ht="28.5" customHeight="1" s="71">
      <c r="A623" s="68" t="n">
        <v>1921</v>
      </c>
      <c r="B623" s="68" t="inlineStr">
        <is>
          <t>'(!(x</t>
        </is>
      </c>
      <c r="C623" s="68" t="inlineStr">
        <is>
          <t>'~X(</t>
        </is>
      </c>
      <c r="D623" s="66" t="inlineStr">
        <is>
          <t>  </t>
        </is>
      </c>
      <c r="E623" s="66" t="inlineStr">
        <is>
          <t> </t>
        </is>
      </c>
    </row>
    <row r="624" ht="28.5" customHeight="1" s="71">
      <c r="A624" s="68" t="n">
        <v>1920</v>
      </c>
      <c r="B624" s="68" t="inlineStr">
        <is>
          <t>.~!)x</t>
        </is>
      </c>
      <c r="C624" s="68" t="inlineStr">
        <is>
          <t>.~~X</t>
        </is>
      </c>
      <c r="D624" s="66" t="inlineStr">
        <is>
          <t>  </t>
        </is>
      </c>
      <c r="E624" s="66" t="inlineStr">
        <is>
          <t> </t>
        </is>
      </c>
    </row>
    <row r="625" ht="28.5" customHeight="1" s="71">
      <c r="A625" s="68" t="n">
        <v>1919</v>
      </c>
      <c r="B625" s="68" t="inlineStr">
        <is>
          <t>\!~x</t>
        </is>
      </c>
      <c r="C625" s="68" t="inlineStr">
        <is>
          <t>X~</t>
        </is>
      </c>
      <c r="D625" s="66" t="inlineStr">
        <is>
          <t> </t>
        </is>
      </c>
      <c r="E625" s="66" t="inlineStr">
        <is>
          <t></t>
        </is>
      </c>
    </row>
    <row r="626" ht="28.5" customHeight="1" s="71">
      <c r="A626" s="68" t="n">
        <v>1918</v>
      </c>
      <c r="B626" s="68" t="inlineStr">
        <is>
          <t>``(!(x</t>
        </is>
      </c>
      <c r="C626" s="68" t="inlineStr">
        <is>
          <t>``~X(</t>
        </is>
      </c>
      <c r="D626" s="66" t="inlineStr">
        <is>
          <t>  </t>
        </is>
      </c>
      <c r="E626" s="66" t="inlineStr">
        <is>
          <t> </t>
        </is>
      </c>
    </row>
    <row r="627" ht="28.5" customHeight="1" s="71">
      <c r="A627" s="68" t="n">
        <v>1917</v>
      </c>
      <c r="B627" s="68" t="inlineStr">
        <is>
          <t>`(!(x</t>
        </is>
      </c>
      <c r="C627" s="68" t="inlineStr">
        <is>
          <t>`~X(</t>
        </is>
      </c>
      <c r="D627" s="66" t="inlineStr">
        <is>
          <t>  </t>
        </is>
      </c>
      <c r="E627" s="66" t="inlineStr">
        <is>
          <t> </t>
        </is>
      </c>
    </row>
    <row r="628" ht="28.5" customHeight="1" s="71">
      <c r="A628" s="68" t="n">
        <v>1916</v>
      </c>
      <c r="B628" s="68" t="inlineStr">
        <is>
          <t>(!(x</t>
        </is>
      </c>
      <c r="C628" s="68" t="inlineStr">
        <is>
          <t>~X(</t>
        </is>
      </c>
      <c r="D628" s="66" t="inlineStr">
        <is>
          <t> </t>
        </is>
      </c>
      <c r="E628" s="66" t="inlineStr">
        <is>
          <t></t>
        </is>
      </c>
    </row>
    <row r="629" ht="28.5" customHeight="1" s="71">
      <c r="A629" s="68" t="n">
        <v>1915</v>
      </c>
      <c r="B629" s="68" t="inlineStr">
        <is>
          <t>,(!(x</t>
        </is>
      </c>
      <c r="C629" s="68" t="inlineStr">
        <is>
          <t>,~X(</t>
        </is>
      </c>
      <c r="D629" s="66" t="inlineStr">
        <is>
          <t>  </t>
        </is>
      </c>
      <c r="E629" s="66" t="inlineStr">
        <is>
          <t> </t>
        </is>
      </c>
    </row>
    <row r="630" ht="28.5" customHeight="1" s="71">
      <c r="A630" s="68" t="n">
        <v>1914</v>
      </c>
      <c r="B630" s="68" t="inlineStr">
        <is>
          <t>~!/x</t>
        </is>
      </c>
      <c r="C630" s="68" t="inlineStr">
        <is>
          <t>)~X</t>
        </is>
      </c>
      <c r="D630" s="66" t="inlineStr">
        <is>
          <t> </t>
        </is>
      </c>
      <c r="E630" s="66" t="inlineStr">
        <is>
          <t></t>
        </is>
      </c>
    </row>
    <row r="631" ht="28.5" customHeight="1" s="71">
      <c r="A631" s="68" t="n">
        <v>1913</v>
      </c>
      <c r="B631" s="68" t="inlineStr">
        <is>
          <t>`'\\!x</t>
        </is>
      </c>
      <c r="C631" s="68" t="inlineStr">
        <is>
          <t>`')X(</t>
        </is>
      </c>
      <c r="D631" s="66" t="inlineStr">
        <is>
          <t>   </t>
        </is>
      </c>
      <c r="E631" s="66" t="inlineStr">
        <is>
          <t>  </t>
        </is>
      </c>
    </row>
    <row r="632" ht="28.5" customHeight="1" s="71">
      <c r="A632" s="68" t="n">
        <v>1912</v>
      </c>
      <c r="B632" s="68" t="inlineStr">
        <is>
          <t>'\\!x</t>
        </is>
      </c>
      <c r="C632" s="68" t="inlineStr">
        <is>
          <t>')X(</t>
        </is>
      </c>
      <c r="D632" s="66" t="inlineStr">
        <is>
          <t>  </t>
        </is>
      </c>
      <c r="E632" s="66" t="inlineStr">
        <is>
          <t> </t>
        </is>
      </c>
    </row>
    <row r="633" ht="28.5" customHeight="1" s="71">
      <c r="A633" s="68" t="n">
        <v>1911</v>
      </c>
      <c r="B633" s="68" t="inlineStr">
        <is>
          <t>,'\\!x</t>
        </is>
      </c>
      <c r="C633" s="68" t="inlineStr">
        <is>
          <t>,')X(</t>
        </is>
      </c>
      <c r="D633" s="66" t="inlineStr">
        <is>
          <t>   </t>
        </is>
      </c>
      <c r="E633" s="66" t="inlineStr">
        <is>
          <t>  </t>
        </is>
      </c>
    </row>
    <row r="634" ht="28.5" customHeight="1" s="71">
      <c r="A634" s="68" t="n">
        <v>1910</v>
      </c>
      <c r="B634" s="68" t="inlineStr">
        <is>
          <t>``\\!x</t>
        </is>
      </c>
      <c r="C634" s="68" t="inlineStr">
        <is>
          <t>``)X(</t>
        </is>
      </c>
      <c r="D634" s="66" t="inlineStr">
        <is>
          <t>  </t>
        </is>
      </c>
      <c r="E634" s="66" t="inlineStr">
        <is>
          <t> </t>
        </is>
      </c>
    </row>
    <row r="635" ht="28.5" customHeight="1" s="71">
      <c r="A635" s="68" t="n">
        <v>1909</v>
      </c>
      <c r="B635" s="68" t="inlineStr">
        <is>
          <t>`\\!x</t>
        </is>
      </c>
      <c r="C635" s="68" t="inlineStr">
        <is>
          <t>`)X(</t>
        </is>
      </c>
      <c r="D635" s="66" t="inlineStr">
        <is>
          <t>  </t>
        </is>
      </c>
      <c r="E635" s="66" t="inlineStr">
        <is>
          <t> </t>
        </is>
      </c>
    </row>
    <row r="636" ht="28.5" customHeight="1" s="71">
      <c r="A636" s="68" t="n">
        <v>1908</v>
      </c>
      <c r="B636" s="68" t="inlineStr">
        <is>
          <t>\\!x</t>
        </is>
      </c>
      <c r="C636" s="68" t="inlineStr">
        <is>
          <t>)X(</t>
        </is>
      </c>
      <c r="D636" s="66" t="inlineStr">
        <is>
          <t> </t>
        </is>
      </c>
      <c r="E636" s="66" t="inlineStr">
        <is>
          <t></t>
        </is>
      </c>
    </row>
    <row r="637" ht="28.5" customHeight="1" s="71">
      <c r="A637" s="68" t="n">
        <v>1907</v>
      </c>
      <c r="B637" s="68" t="inlineStr">
        <is>
          <t>,\\!x</t>
        </is>
      </c>
      <c r="C637" s="68" t="inlineStr">
        <is>
          <t>,)X(</t>
        </is>
      </c>
      <c r="D637" s="66" t="inlineStr">
        <is>
          <t>  </t>
        </is>
      </c>
      <c r="E637" s="66" t="inlineStr">
        <is>
          <t> </t>
        </is>
      </c>
    </row>
    <row r="638" ht="28.5" customHeight="1" s="71">
      <c r="A638" s="68" t="n">
        <v>1906</v>
      </c>
      <c r="B638" s="68" t="inlineStr">
        <is>
          <t>,,\\!x</t>
        </is>
      </c>
      <c r="C638" s="68" t="inlineStr">
        <is>
          <t>,,)X(</t>
        </is>
      </c>
      <c r="D638" s="66" t="inlineStr">
        <is>
          <t>  </t>
        </is>
      </c>
      <c r="E638" s="66" t="inlineStr">
        <is>
          <t> </t>
        </is>
      </c>
    </row>
    <row r="639" ht="28.5" customHeight="1" s="71">
      <c r="A639" s="68" t="n">
        <v>1905</v>
      </c>
      <c r="B639" s="68" t="inlineStr">
        <is>
          <t>`.\\!x</t>
        </is>
      </c>
      <c r="C639" s="68" t="inlineStr">
        <is>
          <t>`.)X(</t>
        </is>
      </c>
      <c r="D639" s="66" t="inlineStr">
        <is>
          <t>   </t>
        </is>
      </c>
      <c r="E639" s="66" t="inlineStr">
        <is>
          <t>  </t>
        </is>
      </c>
    </row>
    <row r="640" ht="28.5" customHeight="1" s="71">
      <c r="A640" s="68" t="n">
        <v>1904</v>
      </c>
      <c r="B640" s="68" t="inlineStr">
        <is>
          <t>.\\!x</t>
        </is>
      </c>
      <c r="C640" s="68" t="inlineStr">
        <is>
          <t>.)X(</t>
        </is>
      </c>
      <c r="D640" s="66" t="inlineStr">
        <is>
          <t>  </t>
        </is>
      </c>
      <c r="E640" s="66" t="inlineStr">
        <is>
          <t> </t>
        </is>
      </c>
    </row>
    <row r="641" ht="28.5" customHeight="1" s="71">
      <c r="A641" s="68" t="n">
        <v>-1000</v>
      </c>
      <c r="B641" s="68" t="inlineStr">
        <is>
          <t>b</t>
        </is>
      </c>
      <c r="C641" s="68" t="inlineStr">
        <is>
          <t>\!!/</t>
        </is>
      </c>
      <c r="D641" s="69" t="inlineStr">
        <is>
          <t></t>
        </is>
      </c>
      <c r="E641" s="66" t="inlineStr">
        <is>
          <t></t>
        </is>
      </c>
    </row>
    <row r="642" ht="28.5" customHeight="1" s="71">
      <c r="A642" s="68" t="n">
        <v>-1001</v>
      </c>
      <c r="B642" s="68" t="inlineStr">
        <is>
          <t>,!b</t>
        </is>
      </c>
      <c r="C642" s="68" t="inlineStr">
        <is>
          <t>,\!!/</t>
        </is>
      </c>
      <c r="D642" s="66" t="inlineStr">
        <is>
          <t>  </t>
        </is>
      </c>
      <c r="E642" s="66" t="inlineStr">
        <is>
          <t> </t>
        </is>
      </c>
    </row>
    <row r="643" ht="28.5" customHeight="1" s="71">
      <c r="A643" s="68" t="n">
        <v>-1002</v>
      </c>
      <c r="B643" s="68" t="inlineStr">
        <is>
          <t>,,!b</t>
        </is>
      </c>
      <c r="C643" s="68" t="inlineStr">
        <is>
          <t>,,\!!/</t>
        </is>
      </c>
      <c r="D643" s="66" t="inlineStr">
        <is>
          <t>  </t>
        </is>
      </c>
      <c r="E643" s="66" t="inlineStr">
        <is>
          <t> </t>
        </is>
      </c>
    </row>
    <row r="644" ht="28.5" customHeight="1" s="71">
      <c r="A644" s="68" t="n">
        <v>-1003</v>
      </c>
      <c r="B644" s="68" t="inlineStr">
        <is>
          <t>')!b</t>
        </is>
      </c>
      <c r="C644" s="68" t="inlineStr">
        <is>
          <t>')!!!</t>
        </is>
      </c>
      <c r="D644" s="66" t="inlineStr">
        <is>
          <t>  </t>
        </is>
      </c>
      <c r="E644" s="66" t="inlineStr">
        <is>
          <t> </t>
        </is>
      </c>
    </row>
    <row r="645" ht="28.5" customHeight="1" s="71">
      <c r="A645" s="68" t="n">
        <v>-1004</v>
      </c>
      <c r="B645" s="68" t="inlineStr">
        <is>
          <t>.!b</t>
        </is>
      </c>
      <c r="C645" s="68" t="inlineStr">
        <is>
          <t>.\!!/</t>
        </is>
      </c>
      <c r="D645" s="66" t="inlineStr">
        <is>
          <t>  </t>
        </is>
      </c>
      <c r="E645" s="66" t="inlineStr">
        <is>
          <t> </t>
        </is>
      </c>
    </row>
    <row r="646" ht="28.5" customHeight="1" s="71">
      <c r="A646" s="68" t="n">
        <v>-1005</v>
      </c>
      <c r="B646" s="68" t="inlineStr">
        <is>
          <t>,.!b</t>
        </is>
      </c>
      <c r="C646" s="68" t="inlineStr">
        <is>
          <t>,.\!!/</t>
        </is>
      </c>
      <c r="D646" s="66" t="inlineStr">
        <is>
          <t>   </t>
        </is>
      </c>
      <c r="E646" s="66" t="inlineStr">
        <is>
          <t>  </t>
        </is>
      </c>
    </row>
    <row r="647" ht="28.5" customHeight="1" s="71">
      <c r="A647" s="68" t="n">
        <v>-1006</v>
      </c>
      <c r="B647" s="68" t="inlineStr">
        <is>
          <t>`)!b</t>
        </is>
      </c>
      <c r="C647" s="68" t="inlineStr">
        <is>
          <t>`)!!!</t>
        </is>
      </c>
      <c r="D647" s="66" t="inlineStr">
        <is>
          <t>  </t>
        </is>
      </c>
      <c r="E647" s="66" t="inlineStr">
        <is>
          <t> </t>
        </is>
      </c>
    </row>
    <row r="648" ht="28.5" customHeight="1" s="71">
      <c r="A648" s="68" t="n">
        <v>-1007</v>
      </c>
      <c r="B648" s="68" t="inlineStr">
        <is>
          <t>)!b</t>
        </is>
      </c>
      <c r="C648" s="68" t="inlineStr">
        <is>
          <t>)!!!</t>
        </is>
      </c>
      <c r="D648" s="66" t="inlineStr">
        <is>
          <t> </t>
        </is>
      </c>
      <c r="E648" s="66" t="inlineStr">
        <is>
          <t></t>
        </is>
      </c>
    </row>
    <row r="649" ht="28.5" customHeight="1" s="71">
      <c r="A649" s="68" t="n">
        <v>-1008</v>
      </c>
      <c r="B649" s="68" t="inlineStr">
        <is>
          <t>,)!b</t>
        </is>
      </c>
      <c r="C649" s="68" t="inlineStr">
        <is>
          <t>,)!!!</t>
        </is>
      </c>
      <c r="D649" s="66" t="inlineStr">
        <is>
          <t>  </t>
        </is>
      </c>
      <c r="E649" s="66" t="inlineStr">
        <is>
          <t> </t>
        </is>
      </c>
    </row>
    <row r="650" ht="28.5" customHeight="1" s="71">
      <c r="A650" s="68" t="n">
        <v>-1009</v>
      </c>
      <c r="B650" s="68" t="inlineStr">
        <is>
          <t>,,)!b</t>
        </is>
      </c>
      <c r="C650" s="68" t="inlineStr">
        <is>
          <t>,,)!!!</t>
        </is>
      </c>
      <c r="D650" s="66" t="inlineStr">
        <is>
          <t>  </t>
        </is>
      </c>
      <c r="E650" s="66" t="inlineStr">
        <is>
          <t> </t>
        </is>
      </c>
    </row>
    <row r="651" ht="28.5" customHeight="1" s="71">
      <c r="A651" s="68" t="n">
        <v>-1010</v>
      </c>
      <c r="B651" s="68" t="inlineStr">
        <is>
          <t>``!(b</t>
        </is>
      </c>
      <c r="C651" s="68" t="inlineStr">
        <is>
          <t>``!!!(</t>
        </is>
      </c>
      <c r="D651" s="66" t="inlineStr">
        <is>
          <t>  </t>
        </is>
      </c>
      <c r="E651" s="66" t="inlineStr">
        <is>
          <t> </t>
        </is>
      </c>
    </row>
    <row r="652" ht="28.5" customHeight="1" s="71">
      <c r="A652" s="68" t="n">
        <v>-1011</v>
      </c>
      <c r="B652" s="68" t="inlineStr">
        <is>
          <t>`!(b</t>
        </is>
      </c>
      <c r="C652" s="68" t="inlineStr">
        <is>
          <t>`!!!(</t>
        </is>
      </c>
      <c r="D652" s="66" t="inlineStr">
        <is>
          <t>  </t>
        </is>
      </c>
      <c r="E652" s="66" t="inlineStr">
        <is>
          <t> </t>
        </is>
      </c>
    </row>
    <row r="653" ht="28.5" customHeight="1" s="71">
      <c r="A653" s="68" t="n">
        <v>-1012</v>
      </c>
      <c r="B653" s="68" t="inlineStr">
        <is>
          <t>!(b</t>
        </is>
      </c>
      <c r="C653" s="68" t="inlineStr">
        <is>
          <t>!!!(</t>
        </is>
      </c>
      <c r="D653" s="66" t="inlineStr">
        <is>
          <t> </t>
        </is>
      </c>
      <c r="E653" s="66" t="inlineStr">
        <is>
          <t></t>
        </is>
      </c>
    </row>
    <row r="654" ht="28.5" customHeight="1" s="71">
      <c r="A654" s="68" t="n">
        <v>-1013</v>
      </c>
      <c r="B654" s="68" t="inlineStr">
        <is>
          <t>,!(b</t>
        </is>
      </c>
      <c r="C654" s="68" t="inlineStr">
        <is>
          <t>,!!!(</t>
        </is>
      </c>
      <c r="D654" s="66" t="inlineStr">
        <is>
          <t>  </t>
        </is>
      </c>
      <c r="E654" s="66" t="inlineStr">
        <is>
          <t> </t>
        </is>
      </c>
    </row>
    <row r="655" ht="28.5" customHeight="1" s="71">
      <c r="A655" s="68" t="n">
        <v>-1014</v>
      </c>
      <c r="B655" s="68" t="inlineStr">
        <is>
          <t>'~!b</t>
        </is>
      </c>
      <c r="C655" s="68" t="inlineStr">
        <is>
          <t>'~!!!</t>
        </is>
      </c>
      <c r="D655" s="66" t="inlineStr">
        <is>
          <t>  </t>
        </is>
      </c>
      <c r="E655" s="66" t="inlineStr">
        <is>
          <t> </t>
        </is>
      </c>
    </row>
    <row r="656" ht="28.5" customHeight="1" s="71">
      <c r="A656" s="68" t="n">
        <v>-1015</v>
      </c>
      <c r="B656" s="68" t="inlineStr">
        <is>
          <t>`.!(b</t>
        </is>
      </c>
      <c r="C656" s="68" t="inlineStr">
        <is>
          <t>`.!!!(</t>
        </is>
      </c>
      <c r="D656" s="66" t="inlineStr">
        <is>
          <t>   </t>
        </is>
      </c>
      <c r="E656" s="66" t="inlineStr">
        <is>
          <t>  </t>
        </is>
      </c>
    </row>
    <row r="657" ht="28.5" customHeight="1" s="71">
      <c r="A657" s="68" t="n">
        <v>-1016</v>
      </c>
      <c r="B657" s="68" t="inlineStr">
        <is>
          <t>.!(b</t>
        </is>
      </c>
      <c r="C657" s="68" t="inlineStr">
        <is>
          <t>.!!!(</t>
        </is>
      </c>
      <c r="D657" s="66" t="inlineStr">
        <is>
          <t>  </t>
        </is>
      </c>
      <c r="E657" s="66" t="inlineStr">
        <is>
          <t> </t>
        </is>
      </c>
    </row>
    <row r="658" ht="28.5" customHeight="1" s="71">
      <c r="A658" s="68" t="n">
        <v>-1017</v>
      </c>
      <c r="B658" s="68" t="inlineStr">
        <is>
          <t>`~!b</t>
        </is>
      </c>
      <c r="C658" s="68" t="inlineStr">
        <is>
          <t>`~!!!</t>
        </is>
      </c>
      <c r="D658" s="66" t="inlineStr">
        <is>
          <t>  </t>
        </is>
      </c>
      <c r="E658" s="66" t="inlineStr">
        <is>
          <t> </t>
        </is>
      </c>
    </row>
    <row r="659" ht="28.5" customHeight="1" s="71">
      <c r="A659" s="68" t="n">
        <v>-1018</v>
      </c>
      <c r="B659" s="68" t="inlineStr">
        <is>
          <t>~!b</t>
        </is>
      </c>
      <c r="C659" s="68" t="inlineStr">
        <is>
          <t>~!!!</t>
        </is>
      </c>
      <c r="D659" s="66" t="inlineStr">
        <is>
          <t> </t>
        </is>
      </c>
      <c r="E659" s="66" t="inlineStr">
        <is>
          <t></t>
        </is>
      </c>
    </row>
    <row r="660" ht="28.5" customHeight="1" s="71">
      <c r="A660" s="68" t="n">
        <v>-1019</v>
      </c>
      <c r="B660" s="68" t="inlineStr">
        <is>
          <t>`)!(b</t>
        </is>
      </c>
      <c r="C660" s="68" t="inlineStr">
        <is>
          <t>`)!!!(</t>
        </is>
      </c>
      <c r="D660" s="66" t="inlineStr">
        <is>
          <t>  </t>
        </is>
      </c>
      <c r="E660" s="66" t="inlineStr">
        <is>
          <t> </t>
        </is>
      </c>
    </row>
    <row r="661" ht="28.5" customHeight="1" s="71">
      <c r="A661" s="68" t="n">
        <v>-1020</v>
      </c>
      <c r="B661" s="68" t="inlineStr">
        <is>
          <t>)!(b</t>
        </is>
      </c>
      <c r="C661" s="68" t="inlineStr">
        <is>
          <t>)!!!(</t>
        </is>
      </c>
      <c r="D661" s="66" t="inlineStr">
        <is>
          <t> </t>
        </is>
      </c>
      <c r="E661" s="66" t="inlineStr">
        <is>
          <t></t>
        </is>
      </c>
    </row>
    <row r="662" ht="28.5" customHeight="1" s="71">
      <c r="A662" s="68" t="n">
        <v>-1021</v>
      </c>
      <c r="B662" s="68" t="inlineStr">
        <is>
          <t>,)!(b</t>
        </is>
      </c>
      <c r="C662" s="68" t="inlineStr">
        <is>
          <t>,)!!!(</t>
        </is>
      </c>
      <c r="D662" s="66" t="inlineStr">
        <is>
          <t>  </t>
        </is>
      </c>
      <c r="E662" s="66" t="inlineStr">
        <is>
          <t> </t>
        </is>
      </c>
    </row>
    <row r="663" ht="28.5" customHeight="1" s="71">
      <c r="A663" s="68" t="n">
        <v>-1022</v>
      </c>
      <c r="B663" s="68" t="inlineStr">
        <is>
          <t>,,)!(b</t>
        </is>
      </c>
      <c r="C663" s="68" t="inlineStr">
        <is>
          <t>,,)!!!(</t>
        </is>
      </c>
      <c r="D663" s="66" t="inlineStr">
        <is>
          <t>  </t>
        </is>
      </c>
      <c r="E663" s="66" t="inlineStr">
        <is>
          <t> </t>
        </is>
      </c>
    </row>
    <row r="664" ht="28.5" customHeight="1" s="71">
      <c r="A664" s="68" t="n">
        <v>-1023</v>
      </c>
      <c r="B664" s="68" t="inlineStr">
        <is>
          <t>`.)!(b</t>
        </is>
      </c>
      <c r="C664" s="68" t="inlineStr">
        <is>
          <t>`.)!!!(</t>
        </is>
      </c>
      <c r="D664" s="66" t="inlineStr">
        <is>
          <t>   </t>
        </is>
      </c>
      <c r="E664" s="66" t="inlineStr">
        <is>
          <t>  </t>
        </is>
      </c>
    </row>
    <row r="665" ht="28.5" customHeight="1" s="71">
      <c r="A665" s="68" t="n">
        <v>-1024</v>
      </c>
      <c r="B665" s="68" t="inlineStr">
        <is>
          <t>.)!(b</t>
        </is>
      </c>
      <c r="C665" s="68" t="inlineStr">
        <is>
          <t>.)!!!(</t>
        </is>
      </c>
      <c r="D665" s="66" t="inlineStr">
        <is>
          <t>  </t>
        </is>
      </c>
      <c r="E665" s="66" t="inlineStr">
        <is>
          <t> </t>
        </is>
      </c>
    </row>
    <row r="666" ht="28.5" customHeight="1" s="71">
      <c r="A666" s="68" t="n">
        <v>-1025</v>
      </c>
      <c r="B666" s="68" t="inlineStr">
        <is>
          <t>)~!b</t>
        </is>
      </c>
      <c r="C666" s="68" t="inlineStr">
        <is>
          <t>)~!!!</t>
        </is>
      </c>
      <c r="D666" s="66" t="inlineStr">
        <is>
          <t> </t>
        </is>
      </c>
      <c r="E666" s="66" t="inlineStr">
        <is>
          <t></t>
        </is>
      </c>
    </row>
    <row r="667" ht="28.5" customHeight="1" s="71">
      <c r="A667" s="68" t="n">
        <v>-1026</v>
      </c>
      <c r="B667" s="68" t="inlineStr">
        <is>
          <t>'~!(b</t>
        </is>
      </c>
      <c r="C667" s="68" t="inlineStr">
        <is>
          <t>'~!!!(</t>
        </is>
      </c>
      <c r="D667" s="66" t="inlineStr">
        <is>
          <t>  </t>
        </is>
      </c>
      <c r="E667" s="66" t="inlineStr">
        <is>
          <t> </t>
        </is>
      </c>
    </row>
    <row r="668" ht="28.5" customHeight="1" s="71">
      <c r="A668" s="68" t="n">
        <v>-1027</v>
      </c>
      <c r="B668" s="68" t="inlineStr">
        <is>
          <t>,'~!(b</t>
        </is>
      </c>
      <c r="C668" s="68" t="inlineStr">
        <is>
          <t>,'~!!!(</t>
        </is>
      </c>
      <c r="D668" s="66" t="inlineStr">
        <is>
          <t>   </t>
        </is>
      </c>
      <c r="E668" s="66" t="inlineStr">
        <is>
          <t>  </t>
        </is>
      </c>
    </row>
    <row r="669" ht="28.5" customHeight="1" s="71">
      <c r="A669" s="68" t="n">
        <v>-1028</v>
      </c>
      <c r="B669" s="68" t="inlineStr">
        <is>
          <t>``~!(b</t>
        </is>
      </c>
      <c r="C669" s="68" t="inlineStr">
        <is>
          <t>``~!!!(</t>
        </is>
      </c>
      <c r="D669" s="66" t="inlineStr">
        <is>
          <t>  </t>
        </is>
      </c>
      <c r="E669" s="66" t="inlineStr">
        <is>
          <t> </t>
        </is>
      </c>
    </row>
    <row r="670" ht="28.5" customHeight="1" s="71">
      <c r="A670" s="68" t="n">
        <v>-1029</v>
      </c>
      <c r="B670" s="68" t="inlineStr">
        <is>
          <t>`~!(b</t>
        </is>
      </c>
      <c r="C670" s="68" t="inlineStr">
        <is>
          <t>`~!!!(</t>
        </is>
      </c>
      <c r="D670" s="66" t="inlineStr">
        <is>
          <t>  </t>
        </is>
      </c>
      <c r="E670" s="66" t="inlineStr">
        <is>
          <t> </t>
        </is>
      </c>
    </row>
    <row r="671" ht="28.5" customHeight="1" s="71">
      <c r="A671" s="68" t="n">
        <v>-1030</v>
      </c>
      <c r="B671" s="68" t="inlineStr">
        <is>
          <t>~!(b</t>
        </is>
      </c>
      <c r="C671" s="68" t="inlineStr">
        <is>
          <t>~!!!(</t>
        </is>
      </c>
      <c r="D671" s="66" t="inlineStr">
        <is>
          <t> </t>
        </is>
      </c>
      <c r="E671" s="66" t="inlineStr">
        <is>
          <t></t>
        </is>
      </c>
    </row>
    <row r="672" ht="28.5" customHeight="1" s="71">
      <c r="A672" s="68" t="n">
        <v>-1031</v>
      </c>
      <c r="B672" s="68" t="inlineStr">
        <is>
          <t>,~!(b</t>
        </is>
      </c>
      <c r="C672" s="68" t="inlineStr">
        <is>
          <t>,~!!!(</t>
        </is>
      </c>
      <c r="D672" s="66" t="inlineStr">
        <is>
          <t>  </t>
        </is>
      </c>
      <c r="E672" s="66" t="inlineStr">
        <is>
          <t> </t>
        </is>
      </c>
    </row>
    <row r="673" ht="28.5" customHeight="1" s="71">
      <c r="A673" s="68" t="n">
        <v>-1032</v>
      </c>
      <c r="B673" s="68" t="inlineStr">
        <is>
          <t>``!~b</t>
        </is>
      </c>
      <c r="C673" s="68" t="inlineStr">
        <is>
          <t>``!!!~</t>
        </is>
      </c>
      <c r="D673" s="66" t="inlineStr">
        <is>
          <t>  </t>
        </is>
      </c>
      <c r="E673" s="66" t="inlineStr">
        <is>
          <t> </t>
        </is>
      </c>
    </row>
    <row r="674" ht="28.5" customHeight="1" s="71">
      <c r="A674" s="68" t="n">
        <v>-1033</v>
      </c>
      <c r="B674" s="68" t="inlineStr">
        <is>
          <t>`!~b</t>
        </is>
      </c>
      <c r="C674" s="68" t="inlineStr">
        <is>
          <t>`!!!~</t>
        </is>
      </c>
      <c r="D674" s="66" t="inlineStr">
        <is>
          <t>  </t>
        </is>
      </c>
      <c r="E674" s="66" t="inlineStr">
        <is>
          <t> </t>
        </is>
      </c>
    </row>
    <row r="675" ht="28.5" customHeight="1" s="71">
      <c r="A675" s="68" t="n">
        <v>-1034</v>
      </c>
      <c r="B675" s="68" t="inlineStr">
        <is>
          <t>!~b</t>
        </is>
      </c>
      <c r="C675" s="68" t="inlineStr">
        <is>
          <t>!!!~</t>
        </is>
      </c>
      <c r="D675" s="66" t="inlineStr">
        <is>
          <t> </t>
        </is>
      </c>
      <c r="E675" s="66" t="inlineStr">
        <is>
          <t></t>
        </is>
      </c>
    </row>
    <row r="676" ht="28.5" customHeight="1" s="71">
      <c r="A676" s="68" t="n">
        <v>-1035</v>
      </c>
      <c r="B676" s="68" t="inlineStr">
        <is>
          <t>,!~b</t>
        </is>
      </c>
      <c r="C676" s="68" t="inlineStr">
        <is>
          <t>,!!!~</t>
        </is>
      </c>
      <c r="D676" s="66" t="inlineStr">
        <is>
          <t>  </t>
        </is>
      </c>
      <c r="E676" s="66" t="inlineStr">
        <is>
          <t> </t>
        </is>
      </c>
    </row>
    <row r="677" ht="28.5" customHeight="1" s="71">
      <c r="A677" s="68" t="n">
        <v>-1036</v>
      </c>
      <c r="B677" s="68" t="inlineStr">
        <is>
          <t>~~!b</t>
        </is>
      </c>
      <c r="C677" s="68" t="inlineStr">
        <is>
          <t>~~!!!</t>
        </is>
      </c>
      <c r="D677" s="66" t="inlineStr">
        <is>
          <t> </t>
        </is>
      </c>
      <c r="E677" s="66" t="inlineStr">
        <is>
          <t></t>
        </is>
      </c>
    </row>
    <row r="678" ht="28.5" customHeight="1" s="71">
      <c r="A678" s="68" t="n">
        <v>-1037</v>
      </c>
      <c r="B678" s="68" t="inlineStr">
        <is>
          <t>,~~!b</t>
        </is>
      </c>
      <c r="C678" s="68" t="inlineStr">
        <is>
          <t>,~~!!!</t>
        </is>
      </c>
      <c r="D678" s="66" t="inlineStr">
        <is>
          <t>  </t>
        </is>
      </c>
      <c r="E678" s="66" t="inlineStr">
        <is>
          <t> </t>
        </is>
      </c>
    </row>
    <row r="679" ht="28.5" customHeight="1" s="71">
      <c r="A679" s="68" t="n">
        <v>-1038</v>
      </c>
      <c r="B679" s="68" t="inlineStr">
        <is>
          <t>,,~~!b</t>
        </is>
      </c>
      <c r="C679" s="68" t="inlineStr">
        <is>
          <t>,,~~!!!</t>
        </is>
      </c>
      <c r="D679" s="66" t="inlineStr">
        <is>
          <t>  </t>
        </is>
      </c>
      <c r="E679" s="66" t="inlineStr">
        <is>
          <t> </t>
        </is>
      </c>
    </row>
    <row r="680" ht="28.5" customHeight="1" s="71">
      <c r="A680" s="68" t="n">
        <v>-1039</v>
      </c>
      <c r="B680" s="68" t="inlineStr">
        <is>
          <t>`'\!b</t>
        </is>
      </c>
      <c r="C680" s="68" t="inlineStr">
        <is>
          <t>`'\!!!</t>
        </is>
      </c>
      <c r="D680" s="66" t="inlineStr">
        <is>
          <t>   </t>
        </is>
      </c>
      <c r="E680" s="66" t="inlineStr">
        <is>
          <t>  </t>
        </is>
      </c>
    </row>
    <row r="681" ht="28.5" customHeight="1" s="71">
      <c r="A681" s="68" t="n">
        <v>-1040</v>
      </c>
      <c r="B681" s="68" t="inlineStr">
        <is>
          <t>'\!b</t>
        </is>
      </c>
      <c r="C681" s="68" t="inlineStr">
        <is>
          <t>'\!!!</t>
        </is>
      </c>
      <c r="D681" s="66" t="inlineStr">
        <is>
          <t>  </t>
        </is>
      </c>
      <c r="E681" s="66" t="inlineStr">
        <is>
          <t> </t>
        </is>
      </c>
    </row>
    <row r="682" ht="28.5" customHeight="1" s="71">
      <c r="A682" s="68" t="n">
        <v>-1041</v>
      </c>
      <c r="B682" s="68" t="inlineStr">
        <is>
          <t>)!~b</t>
        </is>
      </c>
      <c r="C682" s="68" t="inlineStr">
        <is>
          <t>)!!!~</t>
        </is>
      </c>
      <c r="D682" s="66" t="inlineStr">
        <is>
          <t> </t>
        </is>
      </c>
      <c r="E682" s="66" t="inlineStr">
        <is>
          <t></t>
        </is>
      </c>
    </row>
    <row r="683" ht="28.5" customHeight="1" s="71">
      <c r="A683" s="68" t="n">
        <v>-1042</v>
      </c>
      <c r="B683" s="68" t="inlineStr">
        <is>
          <t>``\!b</t>
        </is>
      </c>
      <c r="C683" s="68" t="inlineStr">
        <is>
          <t>``\!!!</t>
        </is>
      </c>
      <c r="D683" s="66" t="inlineStr">
        <is>
          <t>  </t>
        </is>
      </c>
      <c r="E683" s="66" t="inlineStr">
        <is>
          <t> </t>
        </is>
      </c>
    </row>
    <row r="684" ht="28.5" customHeight="1" s="71">
      <c r="A684" s="68" t="n">
        <v>-1043</v>
      </c>
      <c r="B684" s="68" t="inlineStr">
        <is>
          <t>`\!b</t>
        </is>
      </c>
      <c r="C684" s="68" t="inlineStr">
        <is>
          <t>`\!!!</t>
        </is>
      </c>
      <c r="D684" s="66" t="inlineStr">
        <is>
          <t>  </t>
        </is>
      </c>
      <c r="E684" s="66" t="inlineStr">
        <is>
          <t> </t>
        </is>
      </c>
    </row>
    <row r="685" ht="28.5" customHeight="1" s="71">
      <c r="A685" s="68" t="n">
        <v>-1044</v>
      </c>
      <c r="B685" s="68" t="inlineStr">
        <is>
          <t>\!b</t>
        </is>
      </c>
      <c r="C685" s="68" t="inlineStr">
        <is>
          <t>\!!!</t>
        </is>
      </c>
      <c r="D685" s="66" t="inlineStr">
        <is>
          <t> </t>
        </is>
      </c>
      <c r="E685" s="66" t="inlineStr">
        <is>
          <t></t>
        </is>
      </c>
    </row>
    <row r="686" ht="28.5" customHeight="1" s="71">
      <c r="A686" s="68" t="n">
        <v>-1045</v>
      </c>
      <c r="B686" s="68" t="inlineStr">
        <is>
          <t>,\!b</t>
        </is>
      </c>
      <c r="C686" s="68" t="inlineStr">
        <is>
          <t>,\!!!</t>
        </is>
      </c>
      <c r="D686" s="66" t="inlineStr">
        <is>
          <t>  </t>
        </is>
      </c>
      <c r="E686" s="66" t="inlineStr">
        <is>
          <t> </t>
        </is>
      </c>
    </row>
    <row r="687" ht="28.5" customHeight="1" s="71">
      <c r="A687" s="68" t="n">
        <v>-1046</v>
      </c>
      <c r="B687" s="68" t="inlineStr">
        <is>
          <t>,,\!b</t>
        </is>
      </c>
      <c r="C687" s="68" t="inlineStr">
        <is>
          <t>,,\!!!</t>
        </is>
      </c>
      <c r="D687" s="66" t="inlineStr">
        <is>
          <t>  </t>
        </is>
      </c>
      <c r="E687" s="66" t="inlineStr">
        <is>
          <t> </t>
        </is>
      </c>
    </row>
    <row r="688" ht="28.5" customHeight="1" s="71">
      <c r="A688" s="68" t="n">
        <v>-1047</v>
      </c>
      <c r="B688" s="68" t="inlineStr">
        <is>
          <t>')\!b</t>
        </is>
      </c>
      <c r="C688" s="68" t="inlineStr">
        <is>
          <t>')\!!!</t>
        </is>
      </c>
      <c r="D688" s="66" t="inlineStr">
        <is>
          <t>  </t>
        </is>
      </c>
      <c r="E688" s="66" t="inlineStr">
        <is>
          <t> </t>
        </is>
      </c>
    </row>
    <row r="689" ht="28.5" customHeight="1" s="71">
      <c r="A689" s="68" t="n">
        <v>-1048</v>
      </c>
      <c r="B689" s="68" t="inlineStr">
        <is>
          <t>.\!b</t>
        </is>
      </c>
      <c r="C689" s="68" t="inlineStr">
        <is>
          <t>.\!!!</t>
        </is>
      </c>
      <c r="D689" s="66" t="inlineStr">
        <is>
          <t>  </t>
        </is>
      </c>
      <c r="E689" s="66" t="inlineStr">
        <is>
          <t> </t>
        </is>
      </c>
    </row>
    <row r="690" ht="28.5" customHeight="1" s="71">
      <c r="A690" s="68" t="n">
        <v>-1049</v>
      </c>
      <c r="B690" s="68" t="inlineStr">
        <is>
          <t>,.\!b</t>
        </is>
      </c>
      <c r="C690" s="68" t="inlineStr">
        <is>
          <t>,.\!!!</t>
        </is>
      </c>
      <c r="D690" s="66" t="inlineStr">
        <is>
          <t>   </t>
        </is>
      </c>
      <c r="E690" s="66" t="inlineStr">
        <is>
          <t>  </t>
        </is>
      </c>
    </row>
    <row r="691" ht="28.5" customHeight="1" s="71">
      <c r="A691" s="68" t="n">
        <v>-1050</v>
      </c>
      <c r="B691" s="68" t="inlineStr">
        <is>
          <t>``)\!b</t>
        </is>
      </c>
      <c r="C691" s="68" t="inlineStr">
        <is>
          <t>``)\!!!</t>
        </is>
      </c>
      <c r="D691" s="66" t="inlineStr">
        <is>
          <t>  </t>
        </is>
      </c>
      <c r="E691" s="66" t="inlineStr">
        <is>
          <t> </t>
        </is>
      </c>
    </row>
    <row r="692" ht="28.5" customHeight="1" s="71">
      <c r="A692" s="68" t="n">
        <v>-1051</v>
      </c>
      <c r="B692" s="68" t="inlineStr">
        <is>
          <t>`)\!b</t>
        </is>
      </c>
      <c r="C692" s="68" t="inlineStr">
        <is>
          <t>`)\!!!</t>
        </is>
      </c>
      <c r="D692" s="66" t="inlineStr">
        <is>
          <t>  </t>
        </is>
      </c>
      <c r="E692" s="66" t="inlineStr">
        <is>
          <t> </t>
        </is>
      </c>
    </row>
    <row r="693" ht="28.5" customHeight="1" s="71">
      <c r="A693" s="68" t="n">
        <v>-1052</v>
      </c>
      <c r="B693" s="68" t="inlineStr">
        <is>
          <t>)\!b</t>
        </is>
      </c>
      <c r="C693" s="68" t="inlineStr">
        <is>
          <t>)\!!!</t>
        </is>
      </c>
      <c r="D693" s="66" t="inlineStr">
        <is>
          <t> </t>
        </is>
      </c>
      <c r="E693" s="66" t="inlineStr">
        <is>
          <t></t>
        </is>
      </c>
    </row>
    <row r="694" ht="28.5" customHeight="1" s="71">
      <c r="A694" s="68" t="n">
        <v>-1053</v>
      </c>
      <c r="B694" s="68" t="inlineStr">
        <is>
          <t>`'!)b</t>
        </is>
      </c>
      <c r="C694" s="68" t="inlineStr">
        <is>
          <t>`'!!!)</t>
        </is>
      </c>
      <c r="D694" s="66" t="inlineStr">
        <is>
          <t>   </t>
        </is>
      </c>
      <c r="E694" s="66" t="inlineStr">
        <is>
          <t>  </t>
        </is>
      </c>
    </row>
    <row r="695" ht="28.5" customHeight="1" s="71">
      <c r="A695" s="68" t="n">
        <v>-1054</v>
      </c>
      <c r="B695" s="68" t="inlineStr">
        <is>
          <t>'!)b</t>
        </is>
      </c>
      <c r="C695" s="68" t="inlineStr">
        <is>
          <t>'!!!)</t>
        </is>
      </c>
      <c r="D695" s="66" t="inlineStr">
        <is>
          <t>  </t>
        </is>
      </c>
      <c r="E695" s="66" t="inlineStr">
        <is>
          <t> </t>
        </is>
      </c>
    </row>
    <row r="696" ht="28.5" customHeight="1" s="71">
      <c r="A696" s="68" t="n">
        <v>-1055</v>
      </c>
      <c r="B696" s="68" t="inlineStr">
        <is>
          <t>,'!)b</t>
        </is>
      </c>
      <c r="C696" s="68" t="inlineStr">
        <is>
          <t>,'!!!)</t>
        </is>
      </c>
      <c r="D696" s="66" t="inlineStr">
        <is>
          <t>   </t>
        </is>
      </c>
      <c r="E696" s="66" t="inlineStr">
        <is>
          <t>  </t>
        </is>
      </c>
    </row>
    <row r="697" ht="28.5" customHeight="1" s="71">
      <c r="A697" s="68" t="n">
        <v>-1056</v>
      </c>
      <c r="B697" s="68" t="inlineStr">
        <is>
          <t>``!)b</t>
        </is>
      </c>
      <c r="C697" s="68" t="inlineStr">
        <is>
          <t>``!!!)</t>
        </is>
      </c>
      <c r="D697" s="66" t="inlineStr">
        <is>
          <t>  </t>
        </is>
      </c>
      <c r="E697" s="66" t="inlineStr">
        <is>
          <t> </t>
        </is>
      </c>
    </row>
    <row r="698" ht="28.5" customHeight="1" s="71">
      <c r="A698" s="68" t="n">
        <v>-1057</v>
      </c>
      <c r="B698" s="68" t="inlineStr">
        <is>
          <t>`!)b</t>
        </is>
      </c>
      <c r="C698" s="68" t="inlineStr">
        <is>
          <t>`!!!)</t>
        </is>
      </c>
      <c r="D698" s="66" t="inlineStr">
        <is>
          <t>  </t>
        </is>
      </c>
      <c r="E698" s="66" t="inlineStr">
        <is>
          <t> </t>
        </is>
      </c>
    </row>
    <row r="699" ht="28.5" customHeight="1" s="71">
      <c r="A699" s="68" t="n">
        <v>-1058</v>
      </c>
      <c r="B699" s="68" t="inlineStr">
        <is>
          <t>!)b</t>
        </is>
      </c>
      <c r="C699" s="68" t="inlineStr">
        <is>
          <t>!!!)</t>
        </is>
      </c>
      <c r="D699" s="66" t="inlineStr">
        <is>
          <t> </t>
        </is>
      </c>
      <c r="E699" s="66" t="inlineStr">
        <is>
          <t></t>
        </is>
      </c>
    </row>
    <row r="700" ht="28.5" customHeight="1" s="71">
      <c r="A700" s="68" t="n">
        <v>-1059</v>
      </c>
      <c r="B700" s="68" t="inlineStr">
        <is>
          <t>,!)b</t>
        </is>
      </c>
      <c r="C700" s="68" t="inlineStr">
        <is>
          <t>,!!!)</t>
        </is>
      </c>
      <c r="D700" s="66" t="inlineStr">
        <is>
          <t>  </t>
        </is>
      </c>
      <c r="E700" s="66" t="inlineStr">
        <is>
          <t> </t>
        </is>
      </c>
    </row>
    <row r="701" ht="28.5" customHeight="1" s="71">
      <c r="A701" s="68" t="n">
        <v>-1060</v>
      </c>
      <c r="B701" s="68" t="inlineStr">
        <is>
          <t>,,!)b</t>
        </is>
      </c>
      <c r="C701" s="68" t="inlineStr">
        <is>
          <t>,,!!!)</t>
        </is>
      </c>
      <c r="D701" s="66" t="inlineStr">
        <is>
          <t>  </t>
        </is>
      </c>
      <c r="E701" s="66" t="inlineStr">
        <is>
          <t> </t>
        </is>
      </c>
    </row>
    <row r="702" ht="28.5" customHeight="1" s="71">
      <c r="A702" s="68" t="n">
        <v>-1061</v>
      </c>
      <c r="B702" s="68" t="inlineStr">
        <is>
          <t>`.!)b</t>
        </is>
      </c>
      <c r="C702" s="68" t="inlineStr">
        <is>
          <t>`.!!!)</t>
        </is>
      </c>
      <c r="D702" s="66" t="inlineStr">
        <is>
          <t>   </t>
        </is>
      </c>
      <c r="E702" s="66" t="inlineStr">
        <is>
          <t>  </t>
        </is>
      </c>
    </row>
    <row r="703" ht="28.5" customHeight="1" s="71">
      <c r="A703" s="68" t="n">
        <v>-1062</v>
      </c>
      <c r="B703" s="68" t="inlineStr">
        <is>
          <t>.!)b</t>
        </is>
      </c>
      <c r="C703" s="68" t="inlineStr">
        <is>
          <t>.!!!)</t>
        </is>
      </c>
      <c r="D703" s="66" t="inlineStr">
        <is>
          <t>  </t>
        </is>
      </c>
      <c r="E703" s="66" t="inlineStr">
        <is>
          <t> </t>
        </is>
      </c>
    </row>
    <row r="704" ht="28.5" customHeight="1" s="71">
      <c r="A704" s="68" t="n">
        <v>-1063</v>
      </c>
      <c r="B704" s="68" t="inlineStr">
        <is>
          <t>,.!)b</t>
        </is>
      </c>
      <c r="C704" s="68" t="inlineStr">
        <is>
          <t>,.!!!)</t>
        </is>
      </c>
      <c r="D704" s="66" t="inlineStr">
        <is>
          <t>   </t>
        </is>
      </c>
      <c r="E704" s="66" t="inlineStr">
        <is>
          <t>  </t>
        </is>
      </c>
    </row>
    <row r="705" ht="28.5" customHeight="1" s="71">
      <c r="A705" s="68" t="n">
        <v>-1064</v>
      </c>
      <c r="B705" s="68" t="inlineStr">
        <is>
          <t>`)!)b</t>
        </is>
      </c>
      <c r="C705" s="68" t="inlineStr">
        <is>
          <t>`)!!!)</t>
        </is>
      </c>
      <c r="D705" s="66" t="inlineStr">
        <is>
          <t>  </t>
        </is>
      </c>
      <c r="E705" s="66" t="inlineStr">
        <is>
          <t> </t>
        </is>
      </c>
    </row>
    <row r="706" ht="28.5" customHeight="1" s="71">
      <c r="A706" s="68" t="n">
        <v>-1065</v>
      </c>
      <c r="B706" s="68" t="inlineStr">
        <is>
          <t>)!)b</t>
        </is>
      </c>
      <c r="C706" s="68" t="inlineStr">
        <is>
          <t>)!!!)</t>
        </is>
      </c>
      <c r="D706" s="66" t="inlineStr">
        <is>
          <t> </t>
        </is>
      </c>
      <c r="E706" s="66" t="inlineStr">
        <is>
          <t></t>
        </is>
      </c>
    </row>
    <row r="707" ht="28.5" customHeight="1" s="71">
      <c r="A707" s="68" t="n">
        <v>-1066</v>
      </c>
      <c r="B707" s="68" t="inlineStr">
        <is>
          <t>'(!b</t>
        </is>
      </c>
      <c r="C707" s="68" t="inlineStr">
        <is>
          <t>'(!!!</t>
        </is>
      </c>
      <c r="D707" s="66" t="inlineStr">
        <is>
          <t>  </t>
        </is>
      </c>
      <c r="E707" s="66" t="inlineStr">
        <is>
          <t> </t>
        </is>
      </c>
    </row>
    <row r="708" ht="28.5" customHeight="1" s="71">
      <c r="A708" s="68" t="n">
        <v>-1067</v>
      </c>
      <c r="B708" s="68" t="inlineStr">
        <is>
          <t>!/b</t>
        </is>
      </c>
      <c r="C708" s="68" t="inlineStr">
        <is>
          <t>!!!/</t>
        </is>
      </c>
      <c r="D708" s="66" t="inlineStr">
        <is>
          <t> </t>
        </is>
      </c>
      <c r="E708" s="66" t="inlineStr">
        <is>
          <t></t>
        </is>
      </c>
    </row>
    <row r="709" ht="28.5" customHeight="1" s="71">
      <c r="A709" s="68" t="n">
        <v>-1068</v>
      </c>
      <c r="B709" s="68" t="inlineStr">
        <is>
          <t>,!/b</t>
        </is>
      </c>
      <c r="C709" s="68" t="inlineStr">
        <is>
          <t>,!!!/</t>
        </is>
      </c>
      <c r="D709" s="66" t="inlineStr">
        <is>
          <t>  </t>
        </is>
      </c>
      <c r="E709" s="66" t="inlineStr">
        <is>
          <t> </t>
        </is>
      </c>
    </row>
    <row r="710" ht="28.5" customHeight="1" s="71">
      <c r="A710" s="68" t="n">
        <v>-1069</v>
      </c>
      <c r="B710" s="68" t="inlineStr">
        <is>
          <t>`(!b</t>
        </is>
      </c>
      <c r="C710" s="68" t="inlineStr">
        <is>
          <t>`(!!!</t>
        </is>
      </c>
      <c r="D710" s="66" t="inlineStr">
        <is>
          <t>  </t>
        </is>
      </c>
      <c r="E710" s="66" t="inlineStr">
        <is>
          <t> </t>
        </is>
      </c>
    </row>
    <row r="711" ht="28.5" customHeight="1" s="71">
      <c r="A711" s="68" t="n">
        <v>-1070</v>
      </c>
      <c r="B711" s="68" t="inlineStr">
        <is>
          <t>(!b</t>
        </is>
      </c>
      <c r="C711" s="68" t="inlineStr">
        <is>
          <t>(!!!</t>
        </is>
      </c>
      <c r="D711" s="66" t="inlineStr">
        <is>
          <t> </t>
        </is>
      </c>
      <c r="E711" s="66" t="inlineStr">
        <is>
          <t></t>
        </is>
      </c>
    </row>
    <row r="712" ht="28.5" customHeight="1" s="71">
      <c r="A712" s="68" t="n">
        <v>-1071</v>
      </c>
      <c r="B712" s="68" t="inlineStr">
        <is>
          <t>,(!b</t>
        </is>
      </c>
      <c r="C712" s="68" t="inlineStr">
        <is>
          <t>,(!!!</t>
        </is>
      </c>
      <c r="D712" s="66" t="inlineStr">
        <is>
          <t>  </t>
        </is>
      </c>
      <c r="E712" s="66" t="inlineStr">
        <is>
          <t> </t>
        </is>
      </c>
    </row>
    <row r="713" ht="28.5" customHeight="1" s="71">
      <c r="A713" s="68" t="n">
        <v>-1072</v>
      </c>
      <c r="B713" s="68" t="inlineStr">
        <is>
          <t>,,(!b</t>
        </is>
      </c>
      <c r="C713" s="68" t="inlineStr">
        <is>
          <t>,,(!!!</t>
        </is>
      </c>
      <c r="D713" s="66" t="inlineStr">
        <is>
          <t>  </t>
        </is>
      </c>
      <c r="E713" s="66" t="inlineStr">
        <is>
          <t> </t>
        </is>
      </c>
    </row>
    <row r="714" ht="28.5" customHeight="1" s="71">
      <c r="A714" s="68" t="n">
        <v>-1073</v>
      </c>
      <c r="B714" s="68" t="inlineStr">
        <is>
          <t>`.(!b</t>
        </is>
      </c>
      <c r="C714" s="68" t="inlineStr">
        <is>
          <t>`.(!!!</t>
        </is>
      </c>
      <c r="D714" s="66" t="inlineStr">
        <is>
          <t>   </t>
        </is>
      </c>
      <c r="E714" s="66" t="inlineStr">
        <is>
          <t>  </t>
        </is>
      </c>
    </row>
    <row r="715" ht="28.5" customHeight="1" s="71">
      <c r="A715" s="68" t="n">
        <v>-1074</v>
      </c>
      <c r="B715" s="68" t="inlineStr">
        <is>
          <t>.(!b</t>
        </is>
      </c>
      <c r="C715" s="68" t="inlineStr">
        <is>
          <t>.(!!!</t>
        </is>
      </c>
      <c r="D715" s="66" t="inlineStr">
        <is>
          <t>  </t>
        </is>
      </c>
      <c r="E715" s="66" t="inlineStr">
        <is>
          <t> </t>
        </is>
      </c>
    </row>
    <row r="716" ht="28.5" customHeight="1" s="71">
      <c r="A716" s="68" t="n">
        <v>-1075</v>
      </c>
      <c r="B716" s="68" t="inlineStr">
        <is>
          <t>`~!)b</t>
        </is>
      </c>
      <c r="C716" s="68" t="inlineStr">
        <is>
          <t>`~!!!)</t>
        </is>
      </c>
      <c r="D716" s="66" t="inlineStr">
        <is>
          <t>  </t>
        </is>
      </c>
      <c r="E716" s="66" t="inlineStr">
        <is>
          <t> </t>
        </is>
      </c>
    </row>
    <row r="717" ht="28.5" customHeight="1" s="71">
      <c r="A717" s="68" t="n">
        <v>-1076</v>
      </c>
      <c r="B717" s="68" t="inlineStr">
        <is>
          <t>~!)b</t>
        </is>
      </c>
      <c r="C717" s="68" t="inlineStr">
        <is>
          <t>~!!!)</t>
        </is>
      </c>
      <c r="D717" s="66" t="inlineStr">
        <is>
          <t> </t>
        </is>
      </c>
      <c r="E717" s="66" t="inlineStr">
        <is>
          <t></t>
        </is>
      </c>
    </row>
    <row r="718" ht="28.5" customHeight="1" s="71">
      <c r="A718" s="68" t="n">
        <v>-1077</v>
      </c>
      <c r="B718" s="68" t="inlineStr">
        <is>
          <t>,~!)b</t>
        </is>
      </c>
      <c r="C718" s="68" t="inlineStr">
        <is>
          <t>,~!!!)</t>
        </is>
      </c>
      <c r="D718" s="66" t="inlineStr">
        <is>
          <t>  </t>
        </is>
      </c>
      <c r="E718" s="66" t="inlineStr">
        <is>
          <t> </t>
        </is>
      </c>
    </row>
    <row r="719" ht="28.5" customHeight="1" s="71">
      <c r="A719" s="68" t="n">
        <v>-1078</v>
      </c>
      <c r="B719" s="68" t="inlineStr">
        <is>
          <t>`'(!(b</t>
        </is>
      </c>
      <c r="C719" s="68" t="inlineStr">
        <is>
          <t>`'(!!!(</t>
        </is>
      </c>
      <c r="D719" s="66" t="inlineStr">
        <is>
          <t>   </t>
        </is>
      </c>
      <c r="E719" s="66" t="inlineStr">
        <is>
          <t>  </t>
        </is>
      </c>
    </row>
    <row r="720" ht="28.5" customHeight="1" s="71">
      <c r="A720" s="68" t="n">
        <v>-1079</v>
      </c>
      <c r="B720" s="68" t="inlineStr">
        <is>
          <t>'(!(b</t>
        </is>
      </c>
      <c r="C720" s="68" t="inlineStr">
        <is>
          <t>'(!!!(</t>
        </is>
      </c>
      <c r="D720" s="66" t="inlineStr">
        <is>
          <t>  </t>
        </is>
      </c>
      <c r="E720" s="66" t="inlineStr">
        <is>
          <t> </t>
        </is>
      </c>
    </row>
    <row r="721" ht="28.5" customHeight="1" s="71">
      <c r="A721" s="68" t="n">
        <v>-1080</v>
      </c>
      <c r="B721" s="68" t="inlineStr">
        <is>
          <t>.~!)b</t>
        </is>
      </c>
      <c r="C721" s="68" t="inlineStr">
        <is>
          <t>.~!!!)</t>
        </is>
      </c>
      <c r="D721" s="66" t="inlineStr">
        <is>
          <t>  </t>
        </is>
      </c>
      <c r="E721" s="66" t="inlineStr">
        <is>
          <t> </t>
        </is>
      </c>
    </row>
    <row r="722" ht="28.5" customHeight="1" s="71">
      <c r="A722" s="68" t="n">
        <v>-1081</v>
      </c>
      <c r="B722" s="68" t="inlineStr">
        <is>
          <t>\!~b</t>
        </is>
      </c>
      <c r="C722" s="68" t="inlineStr">
        <is>
          <t>\!!!~</t>
        </is>
      </c>
      <c r="D722" s="66" t="inlineStr">
        <is>
          <t> </t>
        </is>
      </c>
      <c r="E722" s="66" t="inlineStr">
        <is>
          <t></t>
        </is>
      </c>
    </row>
    <row r="723" ht="28.5" customHeight="1" s="71">
      <c r="A723" s="68" t="n">
        <v>-1082</v>
      </c>
      <c r="B723" s="68" t="inlineStr">
        <is>
          <t>``(!(b</t>
        </is>
      </c>
      <c r="C723" s="68" t="inlineStr">
        <is>
          <t>``(!!!(</t>
        </is>
      </c>
      <c r="D723" s="66" t="inlineStr">
        <is>
          <t>  </t>
        </is>
      </c>
      <c r="E723" s="66" t="inlineStr">
        <is>
          <t> </t>
        </is>
      </c>
    </row>
    <row r="724" ht="28.5" customHeight="1" s="71">
      <c r="A724" s="68" t="n">
        <v>-1083</v>
      </c>
      <c r="B724" s="68" t="inlineStr">
        <is>
          <t>`(!(b</t>
        </is>
      </c>
      <c r="C724" s="68" t="inlineStr">
        <is>
          <t>`(!!!(</t>
        </is>
      </c>
      <c r="D724" s="66" t="inlineStr">
        <is>
          <t>  </t>
        </is>
      </c>
      <c r="E724" s="66" t="inlineStr">
        <is>
          <t> </t>
        </is>
      </c>
    </row>
    <row r="725" ht="28.5" customHeight="1" s="71">
      <c r="A725" s="68" t="n">
        <v>-1084</v>
      </c>
      <c r="B725" s="68" t="inlineStr">
        <is>
          <t>(!(b</t>
        </is>
      </c>
      <c r="C725" s="68" t="inlineStr">
        <is>
          <t>(!!!(</t>
        </is>
      </c>
      <c r="D725" s="66" t="inlineStr">
        <is>
          <t> </t>
        </is>
      </c>
      <c r="E725" s="66" t="inlineStr">
        <is>
          <t></t>
        </is>
      </c>
    </row>
    <row r="726" ht="28.5" customHeight="1" s="71">
      <c r="A726" s="68" t="n">
        <v>-1085</v>
      </c>
      <c r="B726" s="68" t="inlineStr">
        <is>
          <t>,(!(b</t>
        </is>
      </c>
      <c r="C726" s="68" t="inlineStr">
        <is>
          <t>,(!!!(</t>
        </is>
      </c>
      <c r="D726" s="66" t="inlineStr">
        <is>
          <t>  </t>
        </is>
      </c>
      <c r="E726" s="66" t="inlineStr">
        <is>
          <t> </t>
        </is>
      </c>
    </row>
    <row r="727" ht="28.5" customHeight="1" s="71">
      <c r="A727" s="68" t="n">
        <v>-1086</v>
      </c>
      <c r="B727" s="68" t="inlineStr">
        <is>
          <t>~!/b</t>
        </is>
      </c>
      <c r="C727" s="68" t="inlineStr">
        <is>
          <t>~!!!/</t>
        </is>
      </c>
      <c r="D727" s="66" t="inlineStr">
        <is>
          <t> </t>
        </is>
      </c>
      <c r="E727" s="66" t="inlineStr">
        <is>
          <t></t>
        </is>
      </c>
    </row>
    <row r="728" ht="28.5" customHeight="1" s="71">
      <c r="A728" s="68" t="n">
        <v>-1087</v>
      </c>
      <c r="B728" s="68" t="inlineStr">
        <is>
          <t>`'\\!b</t>
        </is>
      </c>
      <c r="C728" s="68" t="inlineStr">
        <is>
          <t>`'\\!!!</t>
        </is>
      </c>
      <c r="D728" s="66" t="inlineStr">
        <is>
          <t>   </t>
        </is>
      </c>
      <c r="E728" s="66" t="inlineStr">
        <is>
          <t>  </t>
        </is>
      </c>
    </row>
    <row r="729" ht="28.5" customHeight="1" s="71">
      <c r="A729" s="68" t="n">
        <v>-1088</v>
      </c>
      <c r="B729" s="68" t="inlineStr">
        <is>
          <t>'\\!b</t>
        </is>
      </c>
      <c r="C729" s="68" t="inlineStr">
        <is>
          <t>'\\!!!</t>
        </is>
      </c>
      <c r="D729" s="66" t="inlineStr">
        <is>
          <t>  </t>
        </is>
      </c>
      <c r="E729" s="66" t="inlineStr">
        <is>
          <t> </t>
        </is>
      </c>
    </row>
    <row r="730" ht="28.5" customHeight="1" s="71">
      <c r="A730" s="68" t="n">
        <v>-1089</v>
      </c>
      <c r="B730" s="68" t="inlineStr">
        <is>
          <t>,'\\!b</t>
        </is>
      </c>
      <c r="C730" s="68" t="inlineStr">
        <is>
          <t>,'\\!!!</t>
        </is>
      </c>
      <c r="D730" s="66" t="inlineStr">
        <is>
          <t>   </t>
        </is>
      </c>
      <c r="E730" s="66" t="inlineStr">
        <is>
          <t>  </t>
        </is>
      </c>
    </row>
    <row r="731" ht="28.5" customHeight="1" s="71">
      <c r="A731" s="68" t="n">
        <v>-1090</v>
      </c>
      <c r="B731" s="68" t="inlineStr">
        <is>
          <t>``\\!b</t>
        </is>
      </c>
      <c r="C731" s="68" t="inlineStr">
        <is>
          <t>``\\!!!</t>
        </is>
      </c>
      <c r="D731" s="69" t="inlineStr">
        <is>
          <t>  </t>
        </is>
      </c>
      <c r="E731" s="66" t="inlineStr">
        <is>
          <t> </t>
        </is>
      </c>
    </row>
    <row r="732" ht="28.5" customHeight="1" s="71">
      <c r="A732" s="68" t="n">
        <v>-1091</v>
      </c>
      <c r="B732" s="68" t="inlineStr">
        <is>
          <t>`\\!b</t>
        </is>
      </c>
      <c r="C732" s="68" t="inlineStr">
        <is>
          <t>`\\!!!</t>
        </is>
      </c>
      <c r="D732" s="66" t="inlineStr">
        <is>
          <t>  </t>
        </is>
      </c>
      <c r="E732" s="66" t="inlineStr">
        <is>
          <t> </t>
        </is>
      </c>
    </row>
    <row r="733" ht="28.5" customHeight="1" s="71">
      <c r="A733" s="68" t="n">
        <v>-1092</v>
      </c>
      <c r="B733" s="68" t="inlineStr">
        <is>
          <t>\\!b</t>
        </is>
      </c>
      <c r="C733" s="68" t="inlineStr">
        <is>
          <t>\\!!!</t>
        </is>
      </c>
      <c r="D733" s="66" t="inlineStr">
        <is>
          <t> </t>
        </is>
      </c>
      <c r="E733" s="66" t="inlineStr">
        <is>
          <t></t>
        </is>
      </c>
    </row>
    <row r="734" ht="28.5" customHeight="1" s="71">
      <c r="A734" s="68" t="n">
        <v>-1093</v>
      </c>
      <c r="B734" s="68" t="inlineStr">
        <is>
          <t>,\\!b</t>
        </is>
      </c>
      <c r="C734" s="68" t="inlineStr">
        <is>
          <t>,\\!!!</t>
        </is>
      </c>
      <c r="D734" s="66" t="inlineStr">
        <is>
          <t>  </t>
        </is>
      </c>
      <c r="E734" s="66" t="inlineStr">
        <is>
          <t> </t>
        </is>
      </c>
    </row>
    <row r="735" ht="28.5" customHeight="1" s="71">
      <c r="A735" s="68" t="n">
        <v>-1094</v>
      </c>
      <c r="B735" s="68" t="inlineStr">
        <is>
          <t>,,\\!b</t>
        </is>
      </c>
      <c r="C735" s="68" t="inlineStr">
        <is>
          <t>,,\\!!!</t>
        </is>
      </c>
      <c r="D735" s="66" t="inlineStr">
        <is>
          <t>  </t>
        </is>
      </c>
      <c r="E735" s="66" t="inlineStr">
        <is>
          <t> </t>
        </is>
      </c>
    </row>
    <row r="736" ht="28.5" customHeight="1" s="71">
      <c r="A736" s="68" t="n">
        <v>-1095</v>
      </c>
      <c r="B736" s="68" t="inlineStr">
        <is>
          <t>`.\\!b</t>
        </is>
      </c>
      <c r="C736" s="68" t="inlineStr">
        <is>
          <t>`.\\!!!</t>
        </is>
      </c>
      <c r="D736" s="66" t="inlineStr">
        <is>
          <t>   </t>
        </is>
      </c>
      <c r="E736" s="66" t="inlineStr">
        <is>
          <t>  </t>
        </is>
      </c>
    </row>
    <row r="737" ht="28.5" customHeight="1" s="71">
      <c r="A737" s="68" t="n">
        <v>-1096</v>
      </c>
      <c r="B737" s="68" t="inlineStr">
        <is>
          <t>.\\!b</t>
        </is>
      </c>
      <c r="C737" s="68" t="inlineStr">
        <is>
          <t>.\\!!!</t>
        </is>
      </c>
      <c r="D737" s="66" t="inlineStr">
        <is>
          <t>  </t>
        </is>
      </c>
      <c r="E737" s="66" t="inlineStr">
        <is>
          <t> </t>
        </is>
      </c>
    </row>
    <row r="738" ht="28.5" customHeight="1" s="71">
      <c r="A738" s="68" t="n">
        <v>-1097</v>
      </c>
      <c r="B738" s="68" t="inlineStr">
        <is>
          <t>``)\\!b</t>
        </is>
      </c>
      <c r="C738" s="68" t="inlineStr">
        <is>
          <t>``)\\!!!</t>
        </is>
      </c>
      <c r="D738" s="69" t="inlineStr">
        <is>
          <t>  </t>
        </is>
      </c>
      <c r="E738" s="69" t="inlineStr">
        <is>
          <t> </t>
        </is>
      </c>
    </row>
    <row r="739" ht="28.5" customHeight="1" s="71">
      <c r="A739" s="68" t="n">
        <v>-1098</v>
      </c>
      <c r="B739" s="68" t="inlineStr">
        <is>
          <t>`)\\!b</t>
        </is>
      </c>
      <c r="C739" s="68" t="inlineStr">
        <is>
          <t>`)\\!!!</t>
        </is>
      </c>
      <c r="D739" s="66" t="inlineStr">
        <is>
          <t>  </t>
        </is>
      </c>
      <c r="E739" s="66" t="inlineStr">
        <is>
          <t> </t>
        </is>
      </c>
    </row>
    <row r="740" ht="28.5" customHeight="1" s="71">
      <c r="A740" s="68" t="n">
        <v>-1099</v>
      </c>
      <c r="B740" s="68" t="inlineStr">
        <is>
          <t>)\\!b</t>
        </is>
      </c>
      <c r="C740" s="68" t="inlineStr">
        <is>
          <t>)\\!!!</t>
        </is>
      </c>
      <c r="D740" s="66" t="inlineStr">
        <is>
          <t> </t>
        </is>
      </c>
      <c r="E740" s="66" t="inlineStr">
        <is>
          <t></t>
        </is>
      </c>
    </row>
    <row r="741" ht="28.5" customHeight="1" s="71">
      <c r="A741" s="68" t="n">
        <v>-1100</v>
      </c>
      <c r="B741" s="68" t="inlineStr">
        <is>
          <t>,)\\!b</t>
        </is>
      </c>
      <c r="C741" s="68" t="inlineStr">
        <is>
          <t>,)\\!!!</t>
        </is>
      </c>
      <c r="D741" s="66" t="inlineStr">
        <is>
          <t>  </t>
        </is>
      </c>
      <c r="E741" s="66" t="inlineStr">
        <is>
          <t> </t>
        </is>
      </c>
    </row>
    <row r="742" ht="28.5" customHeight="1" s="71">
      <c r="A742" s="68" t="n">
        <v>-1101</v>
      </c>
      <c r="B742" s="68" t="inlineStr">
        <is>
          <t>,,)\\!b</t>
        </is>
      </c>
      <c r="C742" s="68" t="inlineStr">
        <is>
          <t>,,)\\!!!</t>
        </is>
      </c>
      <c r="D742" s="66" t="inlineStr">
        <is>
          <t>  </t>
        </is>
      </c>
      <c r="E742" s="66" t="inlineStr">
        <is>
          <t> </t>
        </is>
      </c>
    </row>
    <row r="743" ht="28.5" customHeight="1" s="71">
      <c r="A743" s="68" t="n">
        <v>-1102</v>
      </c>
      <c r="B743" s="68" t="inlineStr">
        <is>
          <t>``\!)b</t>
        </is>
      </c>
      <c r="C743" s="68" t="inlineStr">
        <is>
          <t>``\!!!)</t>
        </is>
      </c>
      <c r="D743" s="66" t="inlineStr">
        <is>
          <t>  </t>
        </is>
      </c>
      <c r="E743" s="66" t="inlineStr">
        <is>
          <t> </t>
        </is>
      </c>
    </row>
    <row r="744" ht="28.5" customHeight="1" s="71">
      <c r="A744" s="68" t="n">
        <v>-1103</v>
      </c>
      <c r="B744" s="68" t="inlineStr">
        <is>
          <t>`\!)b</t>
        </is>
      </c>
      <c r="C744" s="68" t="inlineStr">
        <is>
          <t>`\!!!)</t>
        </is>
      </c>
      <c r="D744" s="66" t="inlineStr">
        <is>
          <t>  </t>
        </is>
      </c>
      <c r="E744" s="66" t="inlineStr">
        <is>
          <t> </t>
        </is>
      </c>
    </row>
    <row r="745" ht="28.5" customHeight="1" s="71">
      <c r="A745" s="68" t="n">
        <v>-1104</v>
      </c>
      <c r="B745" s="68" t="inlineStr">
        <is>
          <t>\!)b</t>
        </is>
      </c>
      <c r="C745" s="68" t="inlineStr">
        <is>
          <t>\!!!)</t>
        </is>
      </c>
      <c r="D745" s="66" t="inlineStr">
        <is>
          <t> </t>
        </is>
      </c>
      <c r="E745" s="66" t="inlineStr">
        <is>
          <t></t>
        </is>
      </c>
    </row>
    <row r="746" ht="28.5" customHeight="1" s="71">
      <c r="A746" s="68" t="n">
        <v>-1105</v>
      </c>
      <c r="B746" s="68" t="inlineStr">
        <is>
          <t>,\!)b</t>
        </is>
      </c>
      <c r="C746" s="68" t="inlineStr">
        <is>
          <t>,\!!!)</t>
        </is>
      </c>
      <c r="D746" s="66" t="inlineStr">
        <is>
          <t>  </t>
        </is>
      </c>
      <c r="E746" s="66" t="inlineStr">
        <is>
          <t> </t>
        </is>
      </c>
    </row>
    <row r="747" ht="28.5" customHeight="1" s="71">
      <c r="A747" s="68" t="n">
        <v>-1106</v>
      </c>
      <c r="B747" s="68" t="inlineStr">
        <is>
          <t>(!~b</t>
        </is>
      </c>
      <c r="C747" s="68" t="inlineStr">
        <is>
          <t>(!!!~</t>
        </is>
      </c>
      <c r="D747" s="66" t="inlineStr">
        <is>
          <t> </t>
        </is>
      </c>
      <c r="E747" s="66" t="inlineStr">
        <is>
          <t></t>
        </is>
      </c>
    </row>
    <row r="748" ht="28.5" customHeight="1" s="71">
      <c r="A748" s="68" t="n">
        <v>-1107</v>
      </c>
      <c r="B748" s="68" t="inlineStr">
        <is>
          <t>`.\!)b</t>
        </is>
      </c>
      <c r="C748" s="68" t="inlineStr">
        <is>
          <t>`.\!!!)</t>
        </is>
      </c>
      <c r="D748" s="66" t="inlineStr">
        <is>
          <t>   </t>
        </is>
      </c>
      <c r="E748" s="66" t="inlineStr">
        <is>
          <t>  </t>
        </is>
      </c>
    </row>
    <row r="749" ht="28.5" customHeight="1" s="71">
      <c r="A749" s="68" t="n">
        <v>-1108</v>
      </c>
      <c r="B749" s="68" t="inlineStr">
        <is>
          <t>.\!)b</t>
        </is>
      </c>
      <c r="C749" s="68" t="inlineStr">
        <is>
          <t>.\!!!)</t>
        </is>
      </c>
      <c r="D749" s="66" t="inlineStr">
        <is>
          <t>  </t>
        </is>
      </c>
      <c r="E749" s="66" t="inlineStr">
        <is>
          <t> </t>
        </is>
      </c>
    </row>
    <row r="750" ht="28.5" customHeight="1" s="71">
      <c r="A750" s="68" t="n">
        <v>-1109</v>
      </c>
      <c r="B750" s="68" t="inlineStr">
        <is>
          <t>,.\!)b</t>
        </is>
      </c>
      <c r="C750" s="68" t="inlineStr">
        <is>
          <t>,.\!!!)</t>
        </is>
      </c>
      <c r="D750" s="66" t="inlineStr">
        <is>
          <t>   </t>
        </is>
      </c>
      <c r="E750" s="66" t="inlineStr">
        <is>
          <t>  </t>
        </is>
      </c>
    </row>
    <row r="751" ht="28.5" customHeight="1" s="71">
      <c r="A751" s="68" t="n">
        <v>-1110</v>
      </c>
      <c r="B751" s="68" t="inlineStr">
        <is>
          <t>'\!/b</t>
        </is>
      </c>
      <c r="C751" s="68" t="inlineStr">
        <is>
          <t>'\!!!/</t>
        </is>
      </c>
      <c r="D751" s="66" t="inlineStr">
        <is>
          <t>  </t>
        </is>
      </c>
      <c r="E751" s="66" t="inlineStr">
        <is>
          <t> </t>
        </is>
      </c>
    </row>
    <row r="752" ht="28.5" customHeight="1" s="71">
      <c r="A752" s="68" t="n">
        <v>-1111</v>
      </c>
      <c r="B752" s="68" t="inlineStr">
        <is>
          <t>,'\!/b</t>
        </is>
      </c>
      <c r="C752" s="68" t="inlineStr">
        <is>
          <t>,'\!!!/</t>
        </is>
      </c>
      <c r="D752" s="66" t="inlineStr">
        <is>
          <t>   </t>
        </is>
      </c>
      <c r="E752" s="66" t="inlineStr">
        <is>
          <t>  </t>
        </is>
      </c>
    </row>
    <row r="753" ht="28.5" customHeight="1" s="71">
      <c r="A753" s="68" t="n">
        <v>-1112</v>
      </c>
      <c r="B753" s="68" t="inlineStr">
        <is>
          <t>``\!/b</t>
        </is>
      </c>
      <c r="C753" s="68" t="inlineStr">
        <is>
          <t>``\!!!/</t>
        </is>
      </c>
      <c r="D753" s="66" t="inlineStr">
        <is>
          <t>  </t>
        </is>
      </c>
      <c r="E753" s="66" t="inlineStr">
        <is>
          <t> </t>
        </is>
      </c>
    </row>
    <row r="754" ht="28.5" customHeight="1" s="71">
      <c r="A754" s="68" t="n">
        <v>-1113</v>
      </c>
      <c r="B754" s="68" t="inlineStr">
        <is>
          <t>`\!/b</t>
        </is>
      </c>
      <c r="C754" s="68" t="inlineStr">
        <is>
          <t>`\!!!/</t>
        </is>
      </c>
      <c r="D754" s="66" t="inlineStr">
        <is>
          <t>  </t>
        </is>
      </c>
      <c r="E754" s="66" t="inlineStr">
        <is>
          <t> </t>
        </is>
      </c>
    </row>
    <row r="755" ht="28.5" customHeight="1" s="71">
      <c r="A755" s="68" t="n">
        <v>-1114</v>
      </c>
      <c r="B755" s="68" t="inlineStr">
        <is>
          <t>\!/b</t>
        </is>
      </c>
      <c r="C755" s="68" t="inlineStr">
        <is>
          <t>\!!!/</t>
        </is>
      </c>
      <c r="D755" s="66" t="inlineStr">
        <is>
          <t> </t>
        </is>
      </c>
      <c r="E755" s="66" t="inlineStr">
        <is>
          <t></t>
        </is>
      </c>
    </row>
    <row r="756" ht="28.5" customHeight="1" s="71">
      <c r="A756" s="68" t="n">
        <v>-1115</v>
      </c>
      <c r="B756" s="68" t="inlineStr">
        <is>
          <t>,\!/b</t>
        </is>
      </c>
      <c r="C756" s="68" t="inlineStr">
        <is>
          <t>,\!!!/</t>
        </is>
      </c>
      <c r="D756" s="66" t="inlineStr">
        <is>
          <t>  </t>
        </is>
      </c>
      <c r="E756" s="66" t="inlineStr">
        <is>
          <t> </t>
        </is>
      </c>
    </row>
    <row r="757" ht="28.5" customHeight="1" s="71">
      <c r="A757" s="68" t="n">
        <v>-1116</v>
      </c>
      <c r="B757" s="68" t="inlineStr">
        <is>
          <t>`(\!b</t>
        </is>
      </c>
      <c r="C757" s="68" t="inlineStr">
        <is>
          <t>`(\!!!</t>
        </is>
      </c>
      <c r="D757" s="66" t="inlineStr">
        <is>
          <t>  </t>
        </is>
      </c>
      <c r="E757" s="66" t="inlineStr">
        <is>
          <t> </t>
        </is>
      </c>
    </row>
    <row r="758" ht="28.5" customHeight="1" s="71">
      <c r="A758" s="68" t="n">
        <v>-1117</v>
      </c>
      <c r="B758" s="68" t="inlineStr">
        <is>
          <t>(\!b</t>
        </is>
      </c>
      <c r="C758" s="68" t="inlineStr">
        <is>
          <t>(\!!!</t>
        </is>
      </c>
      <c r="D758" s="66" t="inlineStr">
        <is>
          <t> </t>
        </is>
      </c>
      <c r="E758" s="66" t="inlineStr">
        <is>
          <t></t>
        </is>
      </c>
    </row>
    <row r="759" ht="28.5" customHeight="1" s="71">
      <c r="A759" s="68" t="n">
        <v>-1118</v>
      </c>
      <c r="B759" s="68" t="inlineStr">
        <is>
          <t>,(\!b</t>
        </is>
      </c>
      <c r="C759" s="68" t="inlineStr">
        <is>
          <t>,(\!!!</t>
        </is>
      </c>
      <c r="D759" s="66" t="inlineStr">
        <is>
          <t>  </t>
        </is>
      </c>
      <c r="E759" s="66" t="inlineStr">
        <is>
          <t> </t>
        </is>
      </c>
    </row>
    <row r="760" ht="28.5" customHeight="1" s="71">
      <c r="A760" s="68" t="n">
        <v>-1119</v>
      </c>
      <c r="B760" s="68" t="inlineStr">
        <is>
          <t>.\!/b</t>
        </is>
      </c>
      <c r="C760" s="68" t="inlineStr">
        <is>
          <t>.\!!!/</t>
        </is>
      </c>
      <c r="D760" s="66" t="inlineStr">
        <is>
          <t>  </t>
        </is>
      </c>
      <c r="E760" s="66" t="inlineStr">
        <is>
          <t> </t>
        </is>
      </c>
    </row>
    <row r="761" ht="28.5" customHeight="1" s="71">
      <c r="A761" s="68" t="n">
        <v>-1120</v>
      </c>
      <c r="B761" s="68" t="inlineStr">
        <is>
          <t>,.\!/b</t>
        </is>
      </c>
      <c r="C761" s="68" t="inlineStr">
        <is>
          <t>,.\!!!/</t>
        </is>
      </c>
      <c r="D761" s="66" t="inlineStr">
        <is>
          <t>   </t>
        </is>
      </c>
      <c r="E761" s="66" t="inlineStr">
        <is>
          <t>  </t>
        </is>
      </c>
    </row>
    <row r="762" ht="28.5" customHeight="1" s="71">
      <c r="A762" s="68" t="n">
        <v>-1121</v>
      </c>
      <c r="B762" s="68" t="inlineStr">
        <is>
          <t>`)\!/b</t>
        </is>
      </c>
      <c r="C762" s="68" t="inlineStr">
        <is>
          <t>`)\!!!/</t>
        </is>
      </c>
      <c r="D762" s="66" t="inlineStr">
        <is>
          <t>  </t>
        </is>
      </c>
      <c r="E762" s="66" t="inlineStr">
        <is>
          <t> </t>
        </is>
      </c>
    </row>
    <row r="763" ht="28.5" customHeight="1" s="71">
      <c r="A763" s="68" t="n">
        <v>-1122</v>
      </c>
      <c r="B763" s="68" t="inlineStr">
        <is>
          <t>)\!/b</t>
        </is>
      </c>
      <c r="C763" s="68" t="inlineStr">
        <is>
          <t>)\!!!/</t>
        </is>
      </c>
      <c r="D763" s="66" t="inlineStr">
        <is>
          <t> </t>
        </is>
      </c>
      <c r="E763" s="66" t="inlineStr">
        <is>
          <t></t>
        </is>
      </c>
    </row>
    <row r="764" ht="28.5" customHeight="1" s="71">
      <c r="A764" s="68" t="n">
        <v>-1123</v>
      </c>
      <c r="B764" s="68" t="inlineStr">
        <is>
          <t>,)\!/b</t>
        </is>
      </c>
      <c r="C764" s="68" t="inlineStr">
        <is>
          <t>,)\!!!/</t>
        </is>
      </c>
      <c r="D764" s="66" t="inlineStr">
        <is>
          <t>  </t>
        </is>
      </c>
      <c r="E764" s="66" t="inlineStr">
        <is>
          <t> </t>
        </is>
      </c>
    </row>
    <row r="765" ht="28.5" customHeight="1" s="71">
      <c r="A765" s="68" t="n">
        <v>-1124</v>
      </c>
      <c r="B765" s="68" t="inlineStr">
        <is>
          <t>,,)\!/b</t>
        </is>
      </c>
      <c r="C765" s="68" t="inlineStr">
        <is>
          <t>,,)\!!!/</t>
        </is>
      </c>
      <c r="D765" s="66" t="inlineStr">
        <is>
          <t>  </t>
        </is>
      </c>
      <c r="E765" s="66" t="inlineStr">
        <is>
          <t> </t>
        </is>
      </c>
    </row>
    <row r="766" ht="28.5" customHeight="1" s="71">
      <c r="A766" s="68" t="n">
        <v>-1125</v>
      </c>
      <c r="B766" s="68" t="inlineStr">
        <is>
          <t>`'(!)b</t>
        </is>
      </c>
      <c r="C766" s="68" t="inlineStr">
        <is>
          <t>`'(!!!)</t>
        </is>
      </c>
      <c r="D766" s="66" t="inlineStr">
        <is>
          <t>   </t>
        </is>
      </c>
      <c r="E766" s="66" t="inlineStr">
        <is>
          <t>  </t>
        </is>
      </c>
    </row>
    <row r="767" ht="28.5" customHeight="1" s="71">
      <c r="A767" s="68" t="n">
        <v>-1126</v>
      </c>
      <c r="B767" s="68" t="inlineStr">
        <is>
          <t>'(!)b</t>
        </is>
      </c>
      <c r="C767" s="68" t="inlineStr">
        <is>
          <t>'(!!!)</t>
        </is>
      </c>
      <c r="D767" s="66" t="inlineStr">
        <is>
          <t>  </t>
        </is>
      </c>
      <c r="E767" s="66" t="inlineStr">
        <is>
          <t> </t>
        </is>
      </c>
    </row>
    <row r="768" ht="28.5" customHeight="1" s="71">
      <c r="A768" s="68" t="n">
        <v>-1127</v>
      </c>
      <c r="B768" s="68" t="inlineStr">
        <is>
          <t>`!/)b</t>
        </is>
      </c>
      <c r="C768" s="68" t="inlineStr">
        <is>
          <t>`!!!/)</t>
        </is>
      </c>
      <c r="D768" s="66" t="inlineStr">
        <is>
          <t>  </t>
        </is>
      </c>
      <c r="E768" s="66" t="inlineStr">
        <is>
          <t> </t>
        </is>
      </c>
    </row>
    <row r="769" ht="28.5" customHeight="1" s="71">
      <c r="A769" s="68" t="n">
        <v>-1128</v>
      </c>
      <c r="B769" s="68" t="inlineStr">
        <is>
          <t>!/)b</t>
        </is>
      </c>
      <c r="C769" s="68" t="inlineStr">
        <is>
          <t>!!!/)</t>
        </is>
      </c>
      <c r="D769" s="66" t="inlineStr">
        <is>
          <t> </t>
        </is>
      </c>
      <c r="E769" s="66" t="inlineStr">
        <is>
          <t></t>
        </is>
      </c>
    </row>
    <row r="770" ht="28.5" customHeight="1" s="71">
      <c r="A770" s="68" t="n">
        <v>-1129</v>
      </c>
      <c r="B770" s="68" t="inlineStr">
        <is>
          <t>,!/)b</t>
        </is>
      </c>
      <c r="C770" s="68" t="inlineStr">
        <is>
          <t>,!!!/)</t>
        </is>
      </c>
      <c r="D770" s="66" t="inlineStr">
        <is>
          <t>  </t>
        </is>
      </c>
      <c r="E770" s="66" t="inlineStr">
        <is>
          <t> </t>
        </is>
      </c>
    </row>
    <row r="771" ht="28.5" customHeight="1" s="71">
      <c r="A771" s="68" t="n">
        <v>-1130</v>
      </c>
      <c r="B771" s="68" t="inlineStr">
        <is>
          <t>`(!)b</t>
        </is>
      </c>
      <c r="C771" s="68" t="inlineStr">
        <is>
          <t>`(!!!)</t>
        </is>
      </c>
      <c r="D771" s="66" t="inlineStr">
        <is>
          <t>  </t>
        </is>
      </c>
      <c r="E771" s="66" t="inlineStr">
        <is>
          <t> </t>
        </is>
      </c>
    </row>
    <row r="772" ht="28.5" customHeight="1" s="71">
      <c r="A772" s="68" t="n">
        <v>-1131</v>
      </c>
      <c r="B772" s="68" t="inlineStr">
        <is>
          <t>(!)b</t>
        </is>
      </c>
      <c r="C772" s="68" t="inlineStr">
        <is>
          <t>(!!!)</t>
        </is>
      </c>
      <c r="D772" s="66" t="inlineStr">
        <is>
          <t> </t>
        </is>
      </c>
      <c r="E772" s="66" t="inlineStr">
        <is>
          <t></t>
        </is>
      </c>
    </row>
    <row r="773" ht="28.5" customHeight="1" s="71">
      <c r="A773" s="68" t="n">
        <v>-1132</v>
      </c>
      <c r="B773" s="68" t="inlineStr">
        <is>
          <t>,(!)b</t>
        </is>
      </c>
      <c r="C773" s="68" t="inlineStr">
        <is>
          <t>,(!!!)</t>
        </is>
      </c>
      <c r="D773" s="66" t="inlineStr">
        <is>
          <t>  </t>
        </is>
      </c>
      <c r="E773" s="66" t="inlineStr">
        <is>
          <t> </t>
        </is>
      </c>
    </row>
    <row r="774" ht="28.5" customHeight="1" s="71">
      <c r="A774" s="68" t="n">
        <v>-1133</v>
      </c>
      <c r="B774" s="68" t="inlineStr">
        <is>
          <t>,,(!)b</t>
        </is>
      </c>
      <c r="C774" s="68" t="inlineStr">
        <is>
          <t>,,(!!!)</t>
        </is>
      </c>
      <c r="D774" s="66" t="inlineStr">
        <is>
          <t>  </t>
        </is>
      </c>
      <c r="E774" s="66" t="inlineStr">
        <is>
          <t> </t>
        </is>
      </c>
    </row>
    <row r="775" ht="28.5" customHeight="1" s="71">
      <c r="A775" s="68" t="n">
        <v>-1134</v>
      </c>
      <c r="B775" s="68" t="inlineStr">
        <is>
          <t>`.(!)b</t>
        </is>
      </c>
      <c r="C775" s="68" t="inlineStr">
        <is>
          <t>`.(!!!)</t>
        </is>
      </c>
      <c r="D775" s="66" t="inlineStr">
        <is>
          <t>   </t>
        </is>
      </c>
      <c r="E775" s="66" t="inlineStr">
        <is>
          <t>  </t>
        </is>
      </c>
    </row>
    <row r="776" ht="28.5" customHeight="1" s="71">
      <c r="A776" s="68" t="n">
        <v>-1135</v>
      </c>
      <c r="B776" s="68" t="inlineStr">
        <is>
          <t>.(!)b</t>
        </is>
      </c>
      <c r="C776" s="68" t="inlineStr">
        <is>
          <t>.(!!!)</t>
        </is>
      </c>
      <c r="D776" s="66" t="inlineStr">
        <is>
          <t>  </t>
        </is>
      </c>
      <c r="E776" s="66" t="inlineStr">
        <is>
          <t> </t>
        </is>
      </c>
    </row>
    <row r="777" ht="28.5" customHeight="1" s="71">
      <c r="A777" s="68" t="n">
        <v>-1136</v>
      </c>
      <c r="B777" s="68" t="inlineStr">
        <is>
          <t>`'(!/b</t>
        </is>
      </c>
      <c r="C777" s="68" t="inlineStr">
        <is>
          <t>`'(!!!/</t>
        </is>
      </c>
      <c r="D777" s="66" t="inlineStr">
        <is>
          <t>   </t>
        </is>
      </c>
      <c r="E777" s="66" t="inlineStr">
        <is>
          <t>  </t>
        </is>
      </c>
    </row>
    <row r="778" ht="28.5" customHeight="1" s="71">
      <c r="A778" s="68" t="n">
        <v>-1137</v>
      </c>
      <c r="B778" s="68" t="inlineStr">
        <is>
          <t>'(!/b</t>
        </is>
      </c>
      <c r="C778" s="68" t="inlineStr">
        <is>
          <t>'(!!!/</t>
        </is>
      </c>
      <c r="D778" s="66" t="inlineStr">
        <is>
          <t>  </t>
        </is>
      </c>
      <c r="E778" s="66" t="inlineStr">
        <is>
          <t> </t>
        </is>
      </c>
    </row>
    <row r="779" ht="28.5" customHeight="1" s="71">
      <c r="A779" s="68" t="n">
        <v>-1138</v>
      </c>
      <c r="B779" s="68" t="inlineStr">
        <is>
          <t>,'(!/b</t>
        </is>
      </c>
      <c r="C779" s="68" t="inlineStr">
        <is>
          <t>,'(!!!/</t>
        </is>
      </c>
      <c r="D779" s="66" t="inlineStr">
        <is>
          <t>   </t>
        </is>
      </c>
      <c r="E779" s="66" t="inlineStr">
        <is>
          <t>  </t>
        </is>
      </c>
    </row>
    <row r="780" ht="28.5" customHeight="1" s="71">
      <c r="A780" s="68" t="n">
        <v>-1139</v>
      </c>
      <c r="B780" s="68" t="inlineStr">
        <is>
          <t>!//b</t>
        </is>
      </c>
      <c r="C780" s="68" t="inlineStr">
        <is>
          <t>!!!//</t>
        </is>
      </c>
      <c r="D780" s="66" t="inlineStr">
        <is>
          <t> </t>
        </is>
      </c>
      <c r="E780" s="66" t="inlineStr">
        <is>
          <t></t>
        </is>
      </c>
    </row>
    <row r="781" ht="28.5" customHeight="1" s="71">
      <c r="A781" s="68" t="n">
        <v>-1140</v>
      </c>
      <c r="B781" s="68" t="inlineStr">
        <is>
          <t>`(!/b</t>
        </is>
      </c>
      <c r="C781" s="68" t="inlineStr">
        <is>
          <t>`(!!!/</t>
        </is>
      </c>
      <c r="D781" s="66" t="inlineStr">
        <is>
          <t>  </t>
        </is>
      </c>
      <c r="E781" s="66" t="inlineStr">
        <is>
          <t> </t>
        </is>
      </c>
    </row>
    <row r="782" ht="28.5" customHeight="1" s="71">
      <c r="A782" s="68" t="n">
        <v>-1141</v>
      </c>
      <c r="B782" s="68" t="inlineStr">
        <is>
          <t>(!/b</t>
        </is>
      </c>
      <c r="C782" s="68" t="inlineStr">
        <is>
          <t>(!!!/</t>
        </is>
      </c>
      <c r="D782" s="66" t="inlineStr">
        <is>
          <t> </t>
        </is>
      </c>
      <c r="E782" s="66" t="inlineStr">
        <is>
          <t></t>
        </is>
      </c>
    </row>
    <row r="783" ht="28.5" customHeight="1" s="71">
      <c r="A783" s="68" t="n">
        <v>-1142</v>
      </c>
      <c r="B783" s="68" t="inlineStr">
        <is>
          <t>,(!/b</t>
        </is>
      </c>
      <c r="C783" s="68" t="inlineStr">
        <is>
          <t>,(!!!/</t>
        </is>
      </c>
      <c r="D783" s="66" t="inlineStr">
        <is>
          <t>  </t>
        </is>
      </c>
      <c r="E783" s="66" t="inlineStr">
        <is>
          <t> </t>
        </is>
      </c>
    </row>
    <row r="784" ht="28.5" customHeight="1" s="71">
      <c r="A784" s="68" t="n">
        <v>-1143</v>
      </c>
      <c r="B784" s="68" t="inlineStr">
        <is>
          <t>,,(!/b</t>
        </is>
      </c>
      <c r="C784" s="68" t="inlineStr">
        <is>
          <t>,,(!!!/</t>
        </is>
      </c>
      <c r="D784" s="69" t="inlineStr">
        <is>
          <t>  </t>
        </is>
      </c>
      <c r="E784" s="66" t="inlineStr">
        <is>
          <t> </t>
        </is>
      </c>
    </row>
    <row r="785" ht="28.5" customHeight="1" s="71">
      <c r="A785" s="68" t="n">
        <v>-1144</v>
      </c>
      <c r="B785" s="68" t="inlineStr">
        <is>
          <t>``)!//b</t>
        </is>
      </c>
      <c r="C785" s="68" t="inlineStr">
        <is>
          <t>``)!!!//</t>
        </is>
      </c>
      <c r="D785" s="66" t="inlineStr">
        <is>
          <t>  </t>
        </is>
      </c>
      <c r="E785" s="66" t="inlineStr">
        <is>
          <t> </t>
        </is>
      </c>
    </row>
    <row r="786" ht="28.5" customHeight="1" s="71">
      <c r="A786" s="68" t="n">
        <v>-1145</v>
      </c>
      <c r="B786" s="68" t="inlineStr">
        <is>
          <t>`)!//b</t>
        </is>
      </c>
      <c r="C786" s="68" t="inlineStr">
        <is>
          <t>`)!!!//</t>
        </is>
      </c>
      <c r="D786" s="66" t="inlineStr">
        <is>
          <t>  </t>
        </is>
      </c>
      <c r="E786" s="66" t="inlineStr">
        <is>
          <t> </t>
        </is>
      </c>
    </row>
    <row r="787" ht="28.5" customHeight="1" s="71">
      <c r="A787" s="68" t="n">
        <v>-1146</v>
      </c>
      <c r="B787" s="68" t="inlineStr">
        <is>
          <t>)!//b</t>
        </is>
      </c>
      <c r="C787" s="68" t="inlineStr">
        <is>
          <t>)!!!//</t>
        </is>
      </c>
      <c r="D787" s="66" t="inlineStr">
        <is>
          <t> </t>
        </is>
      </c>
      <c r="E787" s="66" t="inlineStr">
        <is>
          <t></t>
        </is>
      </c>
    </row>
    <row r="788" ht="28.5" customHeight="1" s="71">
      <c r="A788" s="68" t="n">
        <v>-1147</v>
      </c>
      <c r="B788" s="68" t="inlineStr">
        <is>
          <t>,)!//b</t>
        </is>
      </c>
      <c r="C788" s="68" t="inlineStr">
        <is>
          <t>,)!!!//</t>
        </is>
      </c>
      <c r="D788" s="66" t="inlineStr">
        <is>
          <t>  </t>
        </is>
      </c>
      <c r="E788" s="66" t="inlineStr">
        <is>
          <t> </t>
        </is>
      </c>
    </row>
    <row r="789" ht="28.5" customHeight="1" s="71">
      <c r="A789" s="68" t="n">
        <v>-1148</v>
      </c>
      <c r="B789" s="68" t="inlineStr">
        <is>
          <t>,,)!//b</t>
        </is>
      </c>
      <c r="C789" s="68" t="inlineStr">
        <is>
          <t>,,)!!!//</t>
        </is>
      </c>
      <c r="D789" s="69" t="inlineStr">
        <is>
          <t>  </t>
        </is>
      </c>
      <c r="E789" s="69" t="inlineStr">
        <is>
          <t> </t>
        </is>
      </c>
    </row>
    <row r="790" ht="28.5" customHeight="1" s="71">
      <c r="A790" s="68" t="n">
        <v>-999</v>
      </c>
      <c r="B790" s="68" t="inlineStr">
        <is>
          <t>`|b</t>
        </is>
      </c>
      <c r="C790" s="68" t="inlineStr">
        <is>
          <t>`\!!/</t>
        </is>
      </c>
      <c r="D790" s="66" t="inlineStr">
        <is>
          <t>  </t>
        </is>
      </c>
      <c r="E790" s="66" t="inlineStr">
        <is>
          <t> </t>
        </is>
      </c>
    </row>
    <row r="791" ht="28.5" customHeight="1" s="71">
      <c r="A791" s="68" t="n">
        <v>-998</v>
      </c>
      <c r="B791" s="68" t="inlineStr">
        <is>
          <t>``|b</t>
        </is>
      </c>
      <c r="C791" s="68" t="inlineStr">
        <is>
          <t>``\!!/</t>
        </is>
      </c>
      <c r="D791" s="66" t="inlineStr">
        <is>
          <t>  </t>
        </is>
      </c>
      <c r="E791" s="66" t="inlineStr">
        <is>
          <t> </t>
        </is>
      </c>
    </row>
    <row r="792" ht="28.5" customHeight="1" s="71">
      <c r="A792" s="68" t="n">
        <v>-997</v>
      </c>
      <c r="B792" s="68" t="inlineStr">
        <is>
          <t>.)|b</t>
        </is>
      </c>
      <c r="C792" s="68" t="inlineStr">
        <is>
          <t>.(!!~</t>
        </is>
      </c>
      <c r="D792" s="66" t="inlineStr">
        <is>
          <t>  </t>
        </is>
      </c>
      <c r="E792" s="66" t="inlineStr">
        <is>
          <t> </t>
        </is>
      </c>
    </row>
    <row r="793" ht="28.5" customHeight="1" s="71">
      <c r="A793" s="68" t="n">
        <v>-996</v>
      </c>
      <c r="B793" s="67" t="inlineStr">
        <is>
          <t>'|b</t>
        </is>
      </c>
      <c r="C793" s="68" t="inlineStr">
        <is>
          <t>'\!!/</t>
        </is>
      </c>
      <c r="D793" s="66" t="inlineStr">
        <is>
          <t>  </t>
        </is>
      </c>
      <c r="E793" s="66" t="inlineStr">
        <is>
          <t> </t>
        </is>
      </c>
    </row>
    <row r="794" ht="28.5" customHeight="1" s="71">
      <c r="A794" s="68" t="n">
        <v>-995</v>
      </c>
      <c r="B794" s="68" t="inlineStr">
        <is>
          <t>`'|b</t>
        </is>
      </c>
      <c r="C794" s="68" t="inlineStr">
        <is>
          <t>`'\!!/</t>
        </is>
      </c>
      <c r="D794" s="66" t="inlineStr">
        <is>
          <t>   </t>
        </is>
      </c>
      <c r="E794" s="66" t="inlineStr">
        <is>
          <t>  </t>
        </is>
      </c>
    </row>
    <row r="795" ht="28.5" customHeight="1" s="71">
      <c r="A795" s="68" t="n">
        <v>-994</v>
      </c>
      <c r="B795" s="68" t="inlineStr">
        <is>
          <t>,)|b</t>
        </is>
      </c>
      <c r="C795" s="68" t="inlineStr">
        <is>
          <t>,(!!~</t>
        </is>
      </c>
      <c r="D795" s="66" t="inlineStr">
        <is>
          <t>  </t>
        </is>
      </c>
      <c r="E795" s="66" t="inlineStr">
        <is>
          <t> </t>
        </is>
      </c>
    </row>
    <row r="796" ht="28.5" customHeight="1" s="71">
      <c r="A796" s="68" t="n">
        <v>-993</v>
      </c>
      <c r="B796" s="68" t="inlineStr">
        <is>
          <t>)|b</t>
        </is>
      </c>
      <c r="C796" s="68" t="inlineStr">
        <is>
          <t>(!!~</t>
        </is>
      </c>
      <c r="D796" s="66" t="inlineStr">
        <is>
          <t> </t>
        </is>
      </c>
      <c r="E796" s="66" t="inlineStr">
        <is>
          <t></t>
        </is>
      </c>
    </row>
    <row r="797" ht="28.5" customHeight="1" s="71">
      <c r="A797" s="68" t="n">
        <v>-992</v>
      </c>
      <c r="B797" s="68" t="inlineStr">
        <is>
          <t>`)|b</t>
        </is>
      </c>
      <c r="C797" s="68" t="inlineStr">
        <is>
          <t>`(!!~</t>
        </is>
      </c>
      <c r="D797" s="66" t="inlineStr">
        <is>
          <t>  </t>
        </is>
      </c>
      <c r="E797" s="66" t="inlineStr">
        <is>
          <t> </t>
        </is>
      </c>
    </row>
    <row r="798" ht="28.5" customHeight="1" s="71">
      <c r="A798" s="68" t="n">
        <v>-991</v>
      </c>
      <c r="B798" s="68" t="inlineStr">
        <is>
          <t>``)|b</t>
        </is>
      </c>
      <c r="C798" s="68" t="inlineStr">
        <is>
          <t>``(!!~</t>
        </is>
      </c>
      <c r="D798" s="66" t="inlineStr">
        <is>
          <t>  </t>
        </is>
      </c>
      <c r="E798" s="66" t="inlineStr">
        <is>
          <t> </t>
        </is>
      </c>
    </row>
    <row r="799" ht="28.5" customHeight="1" s="71">
      <c r="A799" s="68" t="n">
        <v>-990</v>
      </c>
      <c r="B799" s="68" t="inlineStr">
        <is>
          <t>,,|(b</t>
        </is>
      </c>
      <c r="C799" s="68" t="inlineStr">
        <is>
          <t>,,\!!)</t>
        </is>
      </c>
      <c r="D799" s="66" t="inlineStr">
        <is>
          <t>  </t>
        </is>
      </c>
      <c r="E799" s="66" t="inlineStr">
        <is>
          <t> </t>
        </is>
      </c>
    </row>
    <row r="800" ht="28.5" customHeight="1" s="71">
      <c r="A800" s="68" t="n">
        <v>-989</v>
      </c>
      <c r="B800" s="68" t="inlineStr">
        <is>
          <t>,|(b</t>
        </is>
      </c>
      <c r="C800" s="68" t="inlineStr">
        <is>
          <t>,\!!)</t>
        </is>
      </c>
      <c r="D800" s="66" t="inlineStr">
        <is>
          <t>  </t>
        </is>
      </c>
      <c r="E800" s="66" t="inlineStr">
        <is>
          <t> </t>
        </is>
      </c>
    </row>
    <row r="801" ht="28.5" customHeight="1" s="71">
      <c r="A801" s="68" t="n">
        <v>-988</v>
      </c>
      <c r="B801" s="68" t="inlineStr">
        <is>
          <t>|(b</t>
        </is>
      </c>
      <c r="C801" s="68" t="inlineStr">
        <is>
          <t>\!!)</t>
        </is>
      </c>
      <c r="D801" s="66" t="inlineStr">
        <is>
          <t> </t>
        </is>
      </c>
      <c r="E801" s="66" t="inlineStr">
        <is>
          <t></t>
        </is>
      </c>
    </row>
    <row r="802" ht="28.5" customHeight="1" s="71">
      <c r="A802" s="68" t="n">
        <v>-987</v>
      </c>
      <c r="B802" s="68" t="inlineStr">
        <is>
          <t>`|(b</t>
        </is>
      </c>
      <c r="C802" s="68" t="inlineStr">
        <is>
          <t>`\!!)</t>
        </is>
      </c>
      <c r="D802" s="66" t="inlineStr">
        <is>
          <t>  </t>
        </is>
      </c>
      <c r="E802" s="66" t="inlineStr">
        <is>
          <t> </t>
        </is>
      </c>
    </row>
    <row r="803" ht="28.5" customHeight="1" s="71">
      <c r="A803" s="68" t="n">
        <v>-986</v>
      </c>
      <c r="B803" s="68" t="inlineStr">
        <is>
          <t>.~|b</t>
        </is>
      </c>
      <c r="C803" s="68" t="inlineStr">
        <is>
          <t>.)\\!!</t>
        </is>
      </c>
      <c r="D803" s="66" t="inlineStr">
        <is>
          <t>  </t>
        </is>
      </c>
      <c r="E803" s="66" t="inlineStr">
        <is>
          <t> </t>
        </is>
      </c>
    </row>
    <row r="804" ht="28.5" customHeight="1" s="71">
      <c r="A804" s="68" t="n">
        <v>-985</v>
      </c>
      <c r="B804" s="68" t="inlineStr">
        <is>
          <t>,'|(b</t>
        </is>
      </c>
      <c r="C804" s="68" t="inlineStr">
        <is>
          <t>,'\!!)</t>
        </is>
      </c>
      <c r="D804" s="66" t="inlineStr">
        <is>
          <t>   </t>
        </is>
      </c>
      <c r="E804" s="66" t="inlineStr">
        <is>
          <t>  </t>
        </is>
      </c>
    </row>
    <row r="805" ht="28.5" customHeight="1" s="71">
      <c r="A805" s="68" t="n">
        <v>-984</v>
      </c>
      <c r="B805" s="68" t="inlineStr">
        <is>
          <t>'|(b</t>
        </is>
      </c>
      <c r="C805" s="68" t="inlineStr">
        <is>
          <t>'\!!)</t>
        </is>
      </c>
      <c r="D805" s="66" t="inlineStr">
        <is>
          <t>  </t>
        </is>
      </c>
      <c r="E805" s="66" t="inlineStr">
        <is>
          <t> </t>
        </is>
      </c>
    </row>
    <row r="806" ht="28.5" customHeight="1" s="71">
      <c r="A806" s="68" t="n">
        <v>-983</v>
      </c>
      <c r="B806" s="68" t="inlineStr">
        <is>
          <t>,~|b</t>
        </is>
      </c>
      <c r="C806" s="68" t="inlineStr">
        <is>
          <t>,)\\!!</t>
        </is>
      </c>
      <c r="D806" s="66" t="inlineStr">
        <is>
          <t>  </t>
        </is>
      </c>
      <c r="E806" s="66" t="inlineStr">
        <is>
          <t> </t>
        </is>
      </c>
    </row>
    <row r="807" ht="28.5" customHeight="1" s="71">
      <c r="A807" s="68" t="n">
        <v>-982</v>
      </c>
      <c r="B807" s="68" t="inlineStr">
        <is>
          <t>~|b</t>
        </is>
      </c>
      <c r="C807" s="68" t="inlineStr">
        <is>
          <t>)\\!!</t>
        </is>
      </c>
      <c r="D807" s="66" t="inlineStr">
        <is>
          <t> </t>
        </is>
      </c>
      <c r="E807" s="66" t="inlineStr">
        <is>
          <t></t>
        </is>
      </c>
    </row>
    <row r="808" ht="28.5" customHeight="1" s="71">
      <c r="A808" s="68" t="n">
        <v>-981</v>
      </c>
      <c r="B808" s="68" t="inlineStr">
        <is>
          <t>,)|(b</t>
        </is>
      </c>
      <c r="C808" s="68" t="inlineStr">
        <is>
          <t>,\\!!</t>
        </is>
      </c>
      <c r="D808" s="66" t="inlineStr">
        <is>
          <t>  </t>
        </is>
      </c>
      <c r="E808" s="66" t="inlineStr">
        <is>
          <t> </t>
        </is>
      </c>
    </row>
    <row r="809" ht="28.5" customHeight="1" s="71">
      <c r="A809" s="68" t="n">
        <v>-980</v>
      </c>
      <c r="B809" s="68" t="inlineStr">
        <is>
          <t>)|(b</t>
        </is>
      </c>
      <c r="C809" s="68" t="inlineStr">
        <is>
          <t>\\!!</t>
        </is>
      </c>
      <c r="D809" s="66" t="inlineStr">
        <is>
          <t> </t>
        </is>
      </c>
      <c r="E809" s="66" t="inlineStr">
        <is>
          <t></t>
        </is>
      </c>
    </row>
    <row r="810" ht="28.5" customHeight="1" s="71">
      <c r="A810" s="68" t="n">
        <v>-979</v>
      </c>
      <c r="B810" s="68" t="inlineStr">
        <is>
          <t>`)|(b</t>
        </is>
      </c>
      <c r="C810" s="68" t="inlineStr">
        <is>
          <t>`\\!!</t>
        </is>
      </c>
      <c r="D810" s="66" t="inlineStr">
        <is>
          <t>  </t>
        </is>
      </c>
      <c r="E810" s="66" t="inlineStr">
        <is>
          <t> </t>
        </is>
      </c>
    </row>
    <row r="811" ht="28.5" customHeight="1" s="71">
      <c r="A811" s="68" t="n">
        <v>-978</v>
      </c>
      <c r="B811" s="68" t="inlineStr">
        <is>
          <t>``)|(b</t>
        </is>
      </c>
      <c r="C811" s="68" t="inlineStr">
        <is>
          <t>``\\!!</t>
        </is>
      </c>
      <c r="D811" s="66" t="inlineStr">
        <is>
          <t>  </t>
        </is>
      </c>
      <c r="E811" s="66" t="inlineStr">
        <is>
          <t> </t>
        </is>
      </c>
    </row>
    <row r="812" ht="28.5" customHeight="1" s="71">
      <c r="A812" s="68" t="n">
        <v>-977</v>
      </c>
      <c r="B812" s="68" t="inlineStr">
        <is>
          <t>,')|(b</t>
        </is>
      </c>
      <c r="C812" s="68" t="inlineStr">
        <is>
          <t>,'\\!!</t>
        </is>
      </c>
      <c r="D812" s="66" t="inlineStr">
        <is>
          <t>   </t>
        </is>
      </c>
      <c r="E812" s="66" t="inlineStr">
        <is>
          <t>  </t>
        </is>
      </c>
    </row>
    <row r="813" ht="28.5" customHeight="1" s="71">
      <c r="A813" s="68" t="n">
        <v>-976</v>
      </c>
      <c r="B813" s="68" t="inlineStr">
        <is>
          <t>')|(b</t>
        </is>
      </c>
      <c r="C813" s="68" t="inlineStr">
        <is>
          <t>'\\!!</t>
        </is>
      </c>
      <c r="D813" s="66" t="inlineStr">
        <is>
          <t>  </t>
        </is>
      </c>
      <c r="E813" s="66" t="inlineStr">
        <is>
          <t> </t>
        </is>
      </c>
    </row>
    <row r="814" ht="28.5" customHeight="1" s="71">
      <c r="A814" s="68" t="n">
        <v>-975</v>
      </c>
      <c r="B814" s="68" t="inlineStr">
        <is>
          <t>)~|b</t>
        </is>
      </c>
      <c r="C814" s="68" t="inlineStr">
        <is>
          <t>~!!/</t>
        </is>
      </c>
      <c r="D814" s="66" t="inlineStr">
        <is>
          <t> </t>
        </is>
      </c>
      <c r="E814" s="66" t="inlineStr">
        <is>
          <t></t>
        </is>
      </c>
    </row>
    <row r="815" ht="28.5" customHeight="1" s="71">
      <c r="A815" s="68" t="n">
        <v>-974</v>
      </c>
      <c r="B815" s="68" t="inlineStr">
        <is>
          <t>.~|(b</t>
        </is>
      </c>
      <c r="C815" s="68" t="inlineStr">
        <is>
          <t>.(!!(</t>
        </is>
      </c>
      <c r="D815" s="66" t="inlineStr">
        <is>
          <t>  </t>
        </is>
      </c>
      <c r="E815" s="66" t="inlineStr">
        <is>
          <t> </t>
        </is>
      </c>
    </row>
    <row r="816" ht="28.5" customHeight="1" s="71">
      <c r="A816" s="68" t="n">
        <v>-973</v>
      </c>
      <c r="B816" s="68" t="inlineStr">
        <is>
          <t>`.~|(b</t>
        </is>
      </c>
      <c r="C816" s="68" t="inlineStr">
        <is>
          <t>`.(!!(</t>
        </is>
      </c>
      <c r="D816" s="66" t="inlineStr">
        <is>
          <t>   </t>
        </is>
      </c>
      <c r="E816" s="66" t="inlineStr">
        <is>
          <t>  </t>
        </is>
      </c>
    </row>
    <row r="817" ht="28.5" customHeight="1" s="71">
      <c r="A817" s="68" t="n">
        <v>-972</v>
      </c>
      <c r="B817" s="68" t="inlineStr">
        <is>
          <t>,,~|(b</t>
        </is>
      </c>
      <c r="C817" s="68" t="inlineStr">
        <is>
          <t>,,(!!(</t>
        </is>
      </c>
      <c r="D817" s="66" t="inlineStr">
        <is>
          <t>  </t>
        </is>
      </c>
      <c r="E817" s="66" t="inlineStr">
        <is>
          <t> </t>
        </is>
      </c>
    </row>
    <row r="818" ht="28.5" customHeight="1" s="71">
      <c r="A818" s="68" t="n">
        <v>-971</v>
      </c>
      <c r="B818" s="68" t="inlineStr">
        <is>
          <t>,~|(b</t>
        </is>
      </c>
      <c r="C818" s="68" t="inlineStr">
        <is>
          <t>,(!!(</t>
        </is>
      </c>
      <c r="D818" s="66" t="inlineStr">
        <is>
          <t>  </t>
        </is>
      </c>
      <c r="E818" s="66" t="inlineStr">
        <is>
          <t> </t>
        </is>
      </c>
    </row>
    <row r="819" ht="28.5" customHeight="1" s="71">
      <c r="A819" s="68" t="n">
        <v>-970</v>
      </c>
      <c r="B819" s="68" t="inlineStr">
        <is>
          <t>~|(b</t>
        </is>
      </c>
      <c r="C819" s="68" t="inlineStr">
        <is>
          <t>(!!(</t>
        </is>
      </c>
      <c r="D819" s="66" t="inlineStr">
        <is>
          <t> </t>
        </is>
      </c>
      <c r="E819" s="66" t="inlineStr">
        <is>
          <t></t>
        </is>
      </c>
    </row>
    <row r="820" ht="28.5" customHeight="1" s="71">
      <c r="A820" s="68" t="n">
        <v>-969</v>
      </c>
      <c r="B820" s="68" t="inlineStr">
        <is>
          <t>`~|(b</t>
        </is>
      </c>
      <c r="C820" s="68" t="inlineStr">
        <is>
          <t>`(!!(</t>
        </is>
      </c>
      <c r="D820" s="66" t="inlineStr">
        <is>
          <t>  </t>
        </is>
      </c>
      <c r="E820" s="66" t="inlineStr">
        <is>
          <t> </t>
        </is>
      </c>
    </row>
    <row r="821" ht="28.5" customHeight="1" s="71">
      <c r="A821" s="68" t="n">
        <v>-968</v>
      </c>
      <c r="B821" s="68" t="inlineStr">
        <is>
          <t>,,|~b</t>
        </is>
      </c>
      <c r="C821" s="68" t="inlineStr">
        <is>
          <t>,,\!!~</t>
        </is>
      </c>
      <c r="D821" s="66" t="inlineStr">
        <is>
          <t>  </t>
        </is>
      </c>
      <c r="E821" s="66" t="inlineStr">
        <is>
          <t> </t>
        </is>
      </c>
    </row>
    <row r="822" ht="28.5" customHeight="1" s="71">
      <c r="A822" s="68" t="n">
        <v>-967</v>
      </c>
      <c r="B822" s="68" t="inlineStr">
        <is>
          <t>,|~b</t>
        </is>
      </c>
      <c r="C822" s="68" t="inlineStr">
        <is>
          <t>,\!!~</t>
        </is>
      </c>
      <c r="D822" s="66" t="inlineStr">
        <is>
          <t>  </t>
        </is>
      </c>
      <c r="E822" s="66" t="inlineStr">
        <is>
          <t> </t>
        </is>
      </c>
    </row>
    <row r="823" ht="28.5" customHeight="1" s="71">
      <c r="A823" s="68" t="n">
        <v>-966</v>
      </c>
      <c r="B823" s="68" t="inlineStr">
        <is>
          <t>|~b</t>
        </is>
      </c>
      <c r="C823" s="68" t="inlineStr">
        <is>
          <t>\!!~</t>
        </is>
      </c>
      <c r="D823" s="66" t="inlineStr">
        <is>
          <t> </t>
        </is>
      </c>
      <c r="E823" s="66" t="inlineStr">
        <is>
          <t></t>
        </is>
      </c>
    </row>
    <row r="824" ht="28.5" customHeight="1" s="71">
      <c r="A824" s="68" t="n">
        <v>-965</v>
      </c>
      <c r="B824" s="68" t="inlineStr">
        <is>
          <t>`|~b</t>
        </is>
      </c>
      <c r="C824" s="68" t="inlineStr">
        <is>
          <t>`\!!~</t>
        </is>
      </c>
      <c r="D824" s="66" t="inlineStr">
        <is>
          <t>  </t>
        </is>
      </c>
      <c r="E824" s="66" t="inlineStr">
        <is>
          <t> </t>
        </is>
      </c>
    </row>
    <row r="825" ht="28.5" customHeight="1" s="71">
      <c r="A825" s="68" t="n">
        <v>-964</v>
      </c>
      <c r="B825" s="68" t="inlineStr">
        <is>
          <t>~~|b</t>
        </is>
      </c>
      <c r="C825" s="68" t="inlineStr">
        <is>
          <t>~!!)</t>
        </is>
      </c>
      <c r="D825" s="66" t="inlineStr">
        <is>
          <t> </t>
        </is>
      </c>
      <c r="E825" s="66" t="inlineStr">
        <is>
          <t></t>
        </is>
      </c>
    </row>
    <row r="826" ht="28.5" customHeight="1" s="71">
      <c r="A826" s="68" t="n">
        <v>-963</v>
      </c>
      <c r="B826" s="68" t="inlineStr">
        <is>
          <t>`~~|b</t>
        </is>
      </c>
      <c r="C826" s="68" t="inlineStr">
        <is>
          <t>`~!!)</t>
        </is>
      </c>
      <c r="D826" s="66" t="inlineStr">
        <is>
          <t>  </t>
        </is>
      </c>
      <c r="E826" s="66" t="inlineStr">
        <is>
          <t> </t>
        </is>
      </c>
    </row>
    <row r="827" ht="28.5" customHeight="1" s="71">
      <c r="A827" s="68" t="n">
        <v>-962</v>
      </c>
      <c r="B827" s="68" t="inlineStr">
        <is>
          <t>``~~|b</t>
        </is>
      </c>
      <c r="C827" s="68" t="inlineStr">
        <is>
          <t>``~!!)</t>
        </is>
      </c>
      <c r="D827" s="66" t="inlineStr">
        <is>
          <t>  </t>
        </is>
      </c>
      <c r="E827" s="66" t="inlineStr">
        <is>
          <t> </t>
        </is>
      </c>
    </row>
    <row r="828" ht="28.5" customHeight="1" s="71">
      <c r="A828" s="68" t="n">
        <v>-961</v>
      </c>
      <c r="B828" s="68" t="inlineStr">
        <is>
          <t>,./|b</t>
        </is>
      </c>
      <c r="C828" s="68" t="inlineStr">
        <is>
          <t>,.!!/</t>
        </is>
      </c>
      <c r="D828" s="66" t="inlineStr">
        <is>
          <t>   </t>
        </is>
      </c>
      <c r="E828" s="66" t="inlineStr">
        <is>
          <t>  </t>
        </is>
      </c>
    </row>
    <row r="829" ht="28.5" customHeight="1" s="71">
      <c r="A829" s="68" t="n">
        <v>-960</v>
      </c>
      <c r="B829" s="68" t="inlineStr">
        <is>
          <t>./|b</t>
        </is>
      </c>
      <c r="C829" s="68" t="inlineStr">
        <is>
          <t>.!!/</t>
        </is>
      </c>
      <c r="D829" s="66" t="inlineStr">
        <is>
          <t>  </t>
        </is>
      </c>
      <c r="E829" s="66" t="inlineStr">
        <is>
          <t> </t>
        </is>
      </c>
    </row>
    <row r="830" ht="28.5" customHeight="1" s="71">
      <c r="A830" s="68" t="n">
        <v>-959</v>
      </c>
      <c r="B830" s="68" t="inlineStr">
        <is>
          <t>)|~b</t>
        </is>
      </c>
      <c r="C830" s="68" t="inlineStr">
        <is>
          <t>(!!</t>
        </is>
      </c>
      <c r="D830" s="66" t="inlineStr">
        <is>
          <t> </t>
        </is>
      </c>
      <c r="E830" s="66" t="inlineStr">
        <is>
          <t></t>
        </is>
      </c>
    </row>
    <row r="831" ht="28.5" customHeight="1" s="71">
      <c r="A831" s="68" t="n">
        <v>-958</v>
      </c>
      <c r="B831" s="68" t="inlineStr">
        <is>
          <t>,,/|b</t>
        </is>
      </c>
      <c r="C831" s="68" t="inlineStr">
        <is>
          <t>,,!!/</t>
        </is>
      </c>
      <c r="D831" s="66" t="inlineStr">
        <is>
          <t>  </t>
        </is>
      </c>
      <c r="E831" s="66" t="inlineStr">
        <is>
          <t> </t>
        </is>
      </c>
    </row>
    <row r="832" ht="28.5" customHeight="1" s="71">
      <c r="A832" s="68" t="n">
        <v>-957</v>
      </c>
      <c r="B832" s="68" t="inlineStr">
        <is>
          <t>,/|b</t>
        </is>
      </c>
      <c r="C832" s="68" t="inlineStr">
        <is>
          <t>,!!/</t>
        </is>
      </c>
      <c r="D832" s="66" t="inlineStr">
        <is>
          <t>  </t>
        </is>
      </c>
      <c r="E832" s="66" t="inlineStr">
        <is>
          <t> </t>
        </is>
      </c>
    </row>
    <row r="833" ht="28.5" customHeight="1" s="71">
      <c r="A833" s="68" t="n">
        <v>-956</v>
      </c>
      <c r="B833" s="68" t="inlineStr">
        <is>
          <t>/|b</t>
        </is>
      </c>
      <c r="C833" s="68" t="inlineStr">
        <is>
          <t>!!/</t>
        </is>
      </c>
      <c r="D833" s="66" t="inlineStr">
        <is>
          <t> </t>
        </is>
      </c>
      <c r="E833" s="66" t="inlineStr">
        <is>
          <t></t>
        </is>
      </c>
    </row>
    <row r="834" ht="28.5" customHeight="1" s="71">
      <c r="A834" s="68" t="n">
        <v>-955</v>
      </c>
      <c r="B834" s="68" t="inlineStr">
        <is>
          <t>`/|b</t>
        </is>
      </c>
      <c r="C834" s="68" t="inlineStr">
        <is>
          <t>`!!/</t>
        </is>
      </c>
      <c r="D834" s="66" t="inlineStr">
        <is>
          <t>  </t>
        </is>
      </c>
      <c r="E834" s="66" t="inlineStr">
        <is>
          <t> </t>
        </is>
      </c>
    </row>
    <row r="835" ht="28.5" customHeight="1" s="71">
      <c r="A835" s="68" t="n">
        <v>-954</v>
      </c>
      <c r="B835" s="68" t="inlineStr">
        <is>
          <t>``/|b</t>
        </is>
      </c>
      <c r="C835" s="68" t="inlineStr">
        <is>
          <t>``!!/</t>
        </is>
      </c>
      <c r="D835" s="66" t="inlineStr">
        <is>
          <t>  </t>
        </is>
      </c>
      <c r="E835" s="66" t="inlineStr">
        <is>
          <t> </t>
        </is>
      </c>
    </row>
    <row r="836" ht="28.5" customHeight="1" s="71">
      <c r="A836" s="68" t="n">
        <v>-953</v>
      </c>
      <c r="B836" s="68" t="inlineStr">
        <is>
          <t>.)/|b</t>
        </is>
      </c>
      <c r="C836" s="68" t="inlineStr">
        <is>
          <t>.)!!)</t>
        </is>
      </c>
      <c r="D836" s="66" t="inlineStr">
        <is>
          <t>  </t>
        </is>
      </c>
      <c r="E836" s="66" t="inlineStr">
        <is>
          <t> </t>
        </is>
      </c>
    </row>
    <row r="837" ht="28.5" customHeight="1" s="71">
      <c r="A837" s="68" t="n">
        <v>-952</v>
      </c>
      <c r="B837" s="68" t="inlineStr">
        <is>
          <t>'/|b</t>
        </is>
      </c>
      <c r="C837" s="68" t="inlineStr">
        <is>
          <t>'!!/</t>
        </is>
      </c>
      <c r="D837" s="66" t="inlineStr">
        <is>
          <t>  </t>
        </is>
      </c>
      <c r="E837" s="66" t="inlineStr">
        <is>
          <t> </t>
        </is>
      </c>
    </row>
    <row r="838" ht="28.5" customHeight="1" s="71">
      <c r="A838" s="68" t="n">
        <v>-951</v>
      </c>
      <c r="B838" s="68" t="inlineStr">
        <is>
          <t>`'/|b</t>
        </is>
      </c>
      <c r="C838" s="68" t="inlineStr">
        <is>
          <t>`'!!/</t>
        </is>
      </c>
      <c r="D838" s="66" t="inlineStr">
        <is>
          <t>   </t>
        </is>
      </c>
      <c r="E838" s="66" t="inlineStr">
        <is>
          <t>  </t>
        </is>
      </c>
    </row>
    <row r="839" ht="28.5" customHeight="1" s="71">
      <c r="A839" s="68" t="n">
        <v>-950</v>
      </c>
      <c r="B839" s="68" t="inlineStr">
        <is>
          <t>,,)/|b</t>
        </is>
      </c>
      <c r="C839" s="68" t="inlineStr">
        <is>
          <t>,,)!!)</t>
        </is>
      </c>
      <c r="D839" s="66" t="inlineStr">
        <is>
          <t>  </t>
        </is>
      </c>
      <c r="E839" s="66" t="inlineStr">
        <is>
          <t> </t>
        </is>
      </c>
    </row>
    <row r="840" ht="28.5" customHeight="1" s="71">
      <c r="A840" s="68" t="n">
        <v>-949</v>
      </c>
      <c r="B840" s="68" t="inlineStr">
        <is>
          <t>,)/|b</t>
        </is>
      </c>
      <c r="C840" s="68" t="inlineStr">
        <is>
          <t>,)!!)</t>
        </is>
      </c>
      <c r="D840" s="66" t="inlineStr">
        <is>
          <t>  </t>
        </is>
      </c>
      <c r="E840" s="66" t="inlineStr">
        <is>
          <t> </t>
        </is>
      </c>
    </row>
    <row r="841" ht="28.5" customHeight="1" s="71">
      <c r="A841" s="68" t="n">
        <v>-948</v>
      </c>
      <c r="B841" s="68" t="inlineStr">
        <is>
          <t>)/|b</t>
        </is>
      </c>
      <c r="C841" s="68" t="inlineStr">
        <is>
          <t>)!!)</t>
        </is>
      </c>
      <c r="D841" s="66" t="inlineStr">
        <is>
          <t> </t>
        </is>
      </c>
      <c r="E841" s="66" t="inlineStr">
        <is>
          <t></t>
        </is>
      </c>
    </row>
    <row r="842" ht="28.5" customHeight="1" s="71">
      <c r="A842" s="68" t="n">
        <v>-947</v>
      </c>
      <c r="B842" s="68" t="inlineStr">
        <is>
          <t>,.|)b</t>
        </is>
      </c>
      <c r="C842" s="68" t="inlineStr">
        <is>
          <t>,.!!)</t>
        </is>
      </c>
      <c r="D842" s="66" t="inlineStr">
        <is>
          <t>   </t>
        </is>
      </c>
      <c r="E842" s="66" t="inlineStr">
        <is>
          <t>  </t>
        </is>
      </c>
    </row>
    <row r="843" ht="28.5" customHeight="1" s="71">
      <c r="A843" s="68" t="n">
        <v>-946</v>
      </c>
      <c r="B843" s="68" t="inlineStr">
        <is>
          <t>.|)b</t>
        </is>
      </c>
      <c r="C843" s="68" t="inlineStr">
        <is>
          <t>.!!)</t>
        </is>
      </c>
      <c r="D843" s="66" t="inlineStr">
        <is>
          <t>  </t>
        </is>
      </c>
      <c r="E843" s="66" t="inlineStr">
        <is>
          <t> </t>
        </is>
      </c>
    </row>
    <row r="844" ht="28.5" customHeight="1" s="71">
      <c r="A844" s="68" t="n">
        <v>-945</v>
      </c>
      <c r="B844" s="68" t="inlineStr">
        <is>
          <t>`.|)b</t>
        </is>
      </c>
      <c r="C844" s="68" t="inlineStr">
        <is>
          <t>`.!!)</t>
        </is>
      </c>
      <c r="D844" s="66" t="inlineStr">
        <is>
          <t>   </t>
        </is>
      </c>
      <c r="E844" s="66" t="inlineStr">
        <is>
          <t>  </t>
        </is>
      </c>
    </row>
    <row r="845" ht="28.5" customHeight="1" s="71">
      <c r="A845" s="68" t="n">
        <v>-944</v>
      </c>
      <c r="B845" s="68" t="inlineStr">
        <is>
          <t>,,|)b</t>
        </is>
      </c>
      <c r="C845" s="68" t="inlineStr">
        <is>
          <t>,,!!)</t>
        </is>
      </c>
      <c r="D845" s="66" t="inlineStr">
        <is>
          <t>  </t>
        </is>
      </c>
      <c r="E845" s="66" t="inlineStr">
        <is>
          <t> </t>
        </is>
      </c>
    </row>
    <row r="846" ht="28.5" customHeight="1" s="71">
      <c r="A846" s="68" t="n">
        <v>-943</v>
      </c>
      <c r="B846" s="68" t="inlineStr">
        <is>
          <t>,|)b</t>
        </is>
      </c>
      <c r="C846" s="68" t="inlineStr">
        <is>
          <t>,!!)</t>
        </is>
      </c>
      <c r="D846" s="66" t="inlineStr">
        <is>
          <t>  </t>
        </is>
      </c>
      <c r="E846" s="66" t="inlineStr">
        <is>
          <t> </t>
        </is>
      </c>
    </row>
    <row r="847" ht="28.5" customHeight="1" s="71">
      <c r="A847" s="68" t="n">
        <v>-942</v>
      </c>
      <c r="B847" s="68" t="inlineStr">
        <is>
          <t>|)b</t>
        </is>
      </c>
      <c r="C847" s="68" t="inlineStr">
        <is>
          <t>!!)</t>
        </is>
      </c>
      <c r="D847" s="66" t="inlineStr">
        <is>
          <t> </t>
        </is>
      </c>
      <c r="E847" s="66" t="inlineStr">
        <is>
          <t></t>
        </is>
      </c>
    </row>
    <row r="848" ht="28.5" customHeight="1" s="71">
      <c r="A848" s="68" t="n">
        <v>-941</v>
      </c>
      <c r="B848" s="68" t="inlineStr">
        <is>
          <t>`|)b</t>
        </is>
      </c>
      <c r="C848" s="68" t="inlineStr">
        <is>
          <t>`!!)</t>
        </is>
      </c>
      <c r="D848" s="66" t="inlineStr">
        <is>
          <t>  </t>
        </is>
      </c>
      <c r="E848" s="66" t="inlineStr">
        <is>
          <t> </t>
        </is>
      </c>
    </row>
    <row r="849" ht="28.5" customHeight="1" s="71">
      <c r="A849" s="68" t="n">
        <v>-940</v>
      </c>
      <c r="B849" s="68" t="inlineStr">
        <is>
          <t>``|)b</t>
        </is>
      </c>
      <c r="C849" s="68" t="inlineStr">
        <is>
          <t>``!!)</t>
        </is>
      </c>
      <c r="D849" s="66" t="inlineStr">
        <is>
          <t>  </t>
        </is>
      </c>
      <c r="E849" s="66" t="inlineStr">
        <is>
          <t> </t>
        </is>
      </c>
    </row>
    <row r="850" ht="28.5" customHeight="1" s="71">
      <c r="A850" s="68" t="n">
        <v>-939</v>
      </c>
      <c r="B850" s="68" t="inlineStr">
        <is>
          <t>,'|)b</t>
        </is>
      </c>
      <c r="C850" s="68" t="inlineStr">
        <is>
          <t>,'!!)</t>
        </is>
      </c>
      <c r="D850" s="66" t="inlineStr">
        <is>
          <t>   </t>
        </is>
      </c>
      <c r="E850" s="66" t="inlineStr">
        <is>
          <t>  </t>
        </is>
      </c>
    </row>
    <row r="851" ht="28.5" customHeight="1" s="71">
      <c r="A851" s="68" t="n">
        <v>-938</v>
      </c>
      <c r="B851" s="68" t="inlineStr">
        <is>
          <t>'|)b</t>
        </is>
      </c>
      <c r="C851" s="68" t="inlineStr">
        <is>
          <t>'!!)</t>
        </is>
      </c>
      <c r="D851" s="66" t="inlineStr">
        <is>
          <t>  </t>
        </is>
      </c>
      <c r="E851" s="66" t="inlineStr">
        <is>
          <t> </t>
        </is>
      </c>
    </row>
    <row r="852" ht="28.5" customHeight="1" s="71">
      <c r="A852" s="68" t="n">
        <v>-937</v>
      </c>
      <c r="B852" s="68" t="inlineStr">
        <is>
          <t>`'|)b</t>
        </is>
      </c>
      <c r="C852" s="68" t="inlineStr">
        <is>
          <t>`'!!)</t>
        </is>
      </c>
      <c r="D852" s="66" t="inlineStr">
        <is>
          <t>   </t>
        </is>
      </c>
      <c r="E852" s="66" t="inlineStr">
        <is>
          <t>  </t>
        </is>
      </c>
    </row>
    <row r="853" ht="28.5" customHeight="1" s="71">
      <c r="A853" s="68" t="n">
        <v>-936</v>
      </c>
      <c r="B853" s="68" t="inlineStr">
        <is>
          <t>,)|)b</t>
        </is>
      </c>
      <c r="C853" s="68" t="inlineStr">
        <is>
          <t>,)\!!</t>
        </is>
      </c>
      <c r="D853" s="66" t="inlineStr">
        <is>
          <t>  </t>
        </is>
      </c>
      <c r="E853" s="66" t="inlineStr">
        <is>
          <t> </t>
        </is>
      </c>
    </row>
    <row r="854" ht="28.5" customHeight="1" s="71">
      <c r="A854" s="68" t="n">
        <v>-935</v>
      </c>
      <c r="B854" s="68" t="inlineStr">
        <is>
          <t>)|)b</t>
        </is>
      </c>
      <c r="C854" s="68" t="inlineStr">
        <is>
          <t>)\!!</t>
        </is>
      </c>
      <c r="D854" s="66" t="inlineStr">
        <is>
          <t> </t>
        </is>
      </c>
      <c r="E854" s="66" t="inlineStr">
        <is>
          <t></t>
        </is>
      </c>
    </row>
    <row r="855" ht="28.5" customHeight="1" s="71">
      <c r="A855" s="68" t="n">
        <v>-934</v>
      </c>
      <c r="B855" s="68" t="inlineStr">
        <is>
          <t>.(|b</t>
        </is>
      </c>
      <c r="C855" s="68" t="inlineStr">
        <is>
          <t>.)!!~</t>
        </is>
      </c>
      <c r="D855" s="66" t="inlineStr">
        <is>
          <t>  </t>
        </is>
      </c>
      <c r="E855" s="66" t="inlineStr">
        <is>
          <t> </t>
        </is>
      </c>
    </row>
    <row r="856" ht="28.5" customHeight="1" s="71">
      <c r="A856" s="68" t="n">
        <v>-933</v>
      </c>
      <c r="B856" s="68" t="inlineStr">
        <is>
          <t>|\b</t>
        </is>
      </c>
      <c r="C856" s="68" t="inlineStr">
        <is>
          <t>\!!</t>
        </is>
      </c>
      <c r="D856" s="66" t="inlineStr">
        <is>
          <t> </t>
        </is>
      </c>
      <c r="E856" s="66" t="inlineStr">
        <is>
          <t></t>
        </is>
      </c>
    </row>
    <row r="857" ht="28.5" customHeight="1" s="71">
      <c r="A857" s="68" t="n">
        <v>-932</v>
      </c>
      <c r="B857" s="68" t="inlineStr">
        <is>
          <t>`|\b</t>
        </is>
      </c>
      <c r="C857" s="68" t="inlineStr">
        <is>
          <t>`\!!</t>
        </is>
      </c>
      <c r="D857" s="66" t="inlineStr">
        <is>
          <t>  </t>
        </is>
      </c>
      <c r="E857" s="66" t="inlineStr">
        <is>
          <t> </t>
        </is>
      </c>
    </row>
    <row r="858" ht="28.5" customHeight="1" s="71">
      <c r="A858" s="68" t="n">
        <v>-931</v>
      </c>
      <c r="B858" s="68" t="inlineStr">
        <is>
          <t>,(|b</t>
        </is>
      </c>
      <c r="C858" s="68" t="inlineStr">
        <is>
          <t>,)!!~</t>
        </is>
      </c>
      <c r="D858" s="66" t="inlineStr">
        <is>
          <t>  </t>
        </is>
      </c>
      <c r="E858" s="66" t="inlineStr">
        <is>
          <t> </t>
        </is>
      </c>
    </row>
    <row r="859" ht="28.5" customHeight="1" s="71">
      <c r="A859" s="68" t="n">
        <v>-930</v>
      </c>
      <c r="B859" s="68" t="inlineStr">
        <is>
          <t>(|b</t>
        </is>
      </c>
      <c r="C859" s="68" t="inlineStr">
        <is>
          <t>)!!~</t>
        </is>
      </c>
      <c r="D859" s="66" t="inlineStr">
        <is>
          <t> </t>
        </is>
      </c>
      <c r="E859" s="66" t="inlineStr">
        <is>
          <t></t>
        </is>
      </c>
    </row>
    <row r="860" ht="28.5" customHeight="1" s="71">
      <c r="A860" s="68" t="n">
        <v>-929</v>
      </c>
      <c r="B860" s="68" t="inlineStr">
        <is>
          <t>`(|b</t>
        </is>
      </c>
      <c r="C860" s="68" t="inlineStr">
        <is>
          <t>`)!!~</t>
        </is>
      </c>
      <c r="D860" s="66" t="inlineStr">
        <is>
          <t>  </t>
        </is>
      </c>
      <c r="E860" s="66" t="inlineStr">
        <is>
          <t> </t>
        </is>
      </c>
    </row>
    <row r="861" ht="28.5" customHeight="1" s="71">
      <c r="A861" s="68" t="n">
        <v>-928</v>
      </c>
      <c r="B861" s="68" t="inlineStr">
        <is>
          <t>``(|b</t>
        </is>
      </c>
      <c r="C861" s="68" t="inlineStr">
        <is>
          <t>``)!!~</t>
        </is>
      </c>
      <c r="D861" s="66" t="inlineStr">
        <is>
          <t>  </t>
        </is>
      </c>
      <c r="E861" s="66" t="inlineStr">
        <is>
          <t> </t>
        </is>
      </c>
    </row>
    <row r="862" ht="28.5" customHeight="1" s="71">
      <c r="A862" s="68" t="n">
        <v>-927</v>
      </c>
      <c r="B862" s="68" t="inlineStr">
        <is>
          <t>,'(|b</t>
        </is>
      </c>
      <c r="C862" s="68" t="inlineStr">
        <is>
          <t>,')!!~</t>
        </is>
      </c>
      <c r="D862" s="66" t="inlineStr">
        <is>
          <t>   </t>
        </is>
      </c>
      <c r="E862" s="66" t="inlineStr">
        <is>
          <t>  </t>
        </is>
      </c>
    </row>
    <row r="863" ht="28.5" customHeight="1" s="71">
      <c r="A863" s="68" t="n">
        <v>-926</v>
      </c>
      <c r="B863" s="68" t="inlineStr">
        <is>
          <t>'(|b</t>
        </is>
      </c>
      <c r="C863" s="68" t="inlineStr">
        <is>
          <t>')!!~</t>
        </is>
      </c>
      <c r="D863" s="66" t="inlineStr">
        <is>
          <t>  </t>
        </is>
      </c>
      <c r="E863" s="66" t="inlineStr">
        <is>
          <t> </t>
        </is>
      </c>
    </row>
    <row r="864" ht="28.5" customHeight="1" s="71">
      <c r="A864" s="68" t="n">
        <v>-925</v>
      </c>
      <c r="B864" s="68" t="inlineStr">
        <is>
          <t>,~|)b</t>
        </is>
      </c>
      <c r="C864" s="68" t="inlineStr">
        <is>
          <t>,~~!!</t>
        </is>
      </c>
      <c r="D864" s="66" t="inlineStr">
        <is>
          <t>  </t>
        </is>
      </c>
      <c r="E864" s="66" t="inlineStr">
        <is>
          <t> </t>
        </is>
      </c>
    </row>
    <row r="865" ht="28.5" customHeight="1" s="71">
      <c r="A865" s="68" t="n">
        <v>-924</v>
      </c>
      <c r="B865" s="68" t="inlineStr">
        <is>
          <t>~|)b</t>
        </is>
      </c>
      <c r="C865" s="68" t="inlineStr">
        <is>
          <t>~~!!</t>
        </is>
      </c>
      <c r="D865" s="66" t="inlineStr">
        <is>
          <t> </t>
        </is>
      </c>
      <c r="E865" s="66" t="inlineStr">
        <is>
          <t></t>
        </is>
      </c>
    </row>
    <row r="866" ht="28.5" customHeight="1" s="71">
      <c r="A866" s="68" t="n">
        <v>-923</v>
      </c>
      <c r="B866" s="68" t="inlineStr">
        <is>
          <t>`~|)b</t>
        </is>
      </c>
      <c r="C866" s="68" t="inlineStr">
        <is>
          <t>`~~!!</t>
        </is>
      </c>
      <c r="D866" s="66" t="inlineStr">
        <is>
          <t>  </t>
        </is>
      </c>
      <c r="E866" s="66" t="inlineStr">
        <is>
          <t> </t>
        </is>
      </c>
    </row>
    <row r="867" ht="28.5" customHeight="1" s="71">
      <c r="A867" s="68" t="n">
        <v>-922</v>
      </c>
      <c r="B867" s="68" t="inlineStr">
        <is>
          <t>,.(|(b</t>
        </is>
      </c>
      <c r="C867" s="68" t="inlineStr">
        <is>
          <t>,.~!!(</t>
        </is>
      </c>
      <c r="D867" s="66" t="inlineStr">
        <is>
          <t>   </t>
        </is>
      </c>
      <c r="E867" s="66" t="inlineStr">
        <is>
          <t>  </t>
        </is>
      </c>
    </row>
    <row r="868" ht="28.5" customHeight="1" s="71">
      <c r="A868" s="68" t="n">
        <v>-921</v>
      </c>
      <c r="B868" s="68" t="inlineStr">
        <is>
          <t>.(|(b</t>
        </is>
      </c>
      <c r="C868" s="68" t="inlineStr">
        <is>
          <t>.~!!(</t>
        </is>
      </c>
      <c r="D868" s="66" t="inlineStr">
        <is>
          <t>  </t>
        </is>
      </c>
      <c r="E868" s="66" t="inlineStr">
        <is>
          <t> </t>
        </is>
      </c>
    </row>
    <row r="869" ht="28.5" customHeight="1" s="71">
      <c r="A869" s="68" t="n">
        <v>-920</v>
      </c>
      <c r="B869" s="68" t="inlineStr">
        <is>
          <t>'~|)b</t>
        </is>
      </c>
      <c r="C869" s="68" t="inlineStr">
        <is>
          <t>'~~!!</t>
        </is>
      </c>
      <c r="D869" s="66" t="inlineStr">
        <is>
          <t>  </t>
        </is>
      </c>
      <c r="E869" s="66" t="inlineStr">
        <is>
          <t> </t>
        </is>
      </c>
    </row>
    <row r="870" ht="28.5" customHeight="1" s="71">
      <c r="A870" s="68" t="n">
        <v>-919</v>
      </c>
      <c r="B870" s="68" t="inlineStr">
        <is>
          <t>/|~b</t>
        </is>
      </c>
      <c r="C870" s="68" t="inlineStr">
        <is>
          <t>!!~</t>
        </is>
      </c>
      <c r="D870" s="66" t="inlineStr">
        <is>
          <t> </t>
        </is>
      </c>
      <c r="E870" s="66" t="inlineStr">
        <is>
          <t></t>
        </is>
      </c>
    </row>
    <row r="871" ht="28.5" customHeight="1" s="71">
      <c r="A871" s="68" t="n">
        <v>-918</v>
      </c>
      <c r="B871" s="68" t="inlineStr">
        <is>
          <t>,,(|(b</t>
        </is>
      </c>
      <c r="C871" s="68" t="inlineStr">
        <is>
          <t>,,~!!(</t>
        </is>
      </c>
      <c r="D871" s="66" t="inlineStr">
        <is>
          <t>  </t>
        </is>
      </c>
      <c r="E871" s="66" t="inlineStr">
        <is>
          <t> </t>
        </is>
      </c>
    </row>
    <row r="872" ht="28.5" customHeight="1" s="71">
      <c r="A872" s="68" t="n">
        <v>-917</v>
      </c>
      <c r="B872" s="68" t="inlineStr">
        <is>
          <t>,(|(b</t>
        </is>
      </c>
      <c r="C872" s="68" t="inlineStr">
        <is>
          <t>,~!!(</t>
        </is>
      </c>
      <c r="D872" s="66" t="inlineStr">
        <is>
          <t>  </t>
        </is>
      </c>
      <c r="E872" s="66" t="inlineStr">
        <is>
          <t> </t>
        </is>
      </c>
    </row>
    <row r="873" ht="28.5" customHeight="1" s="71">
      <c r="A873" s="68" t="n">
        <v>-916</v>
      </c>
      <c r="B873" s="68" t="inlineStr">
        <is>
          <t>(|(b</t>
        </is>
      </c>
      <c r="C873" s="68" t="inlineStr">
        <is>
          <t>~!!(</t>
        </is>
      </c>
      <c r="D873" s="66" t="inlineStr">
        <is>
          <t> </t>
        </is>
      </c>
      <c r="E873" s="66" t="inlineStr">
        <is>
          <t></t>
        </is>
      </c>
    </row>
    <row r="874" ht="28.5" customHeight="1" s="71">
      <c r="A874" s="68" t="n">
        <v>-915</v>
      </c>
      <c r="B874" s="68" t="inlineStr">
        <is>
          <t>`(|(b</t>
        </is>
      </c>
      <c r="C874" s="68" t="inlineStr">
        <is>
          <t>`~!!(</t>
        </is>
      </c>
      <c r="D874" s="66" t="inlineStr">
        <is>
          <t>  </t>
        </is>
      </c>
      <c r="E874" s="66" t="inlineStr">
        <is>
          <t> </t>
        </is>
      </c>
    </row>
    <row r="875" ht="28.5" customHeight="1" s="71">
      <c r="A875" s="68" t="n">
        <v>-914</v>
      </c>
      <c r="B875" s="68" t="inlineStr">
        <is>
          <t>~|\b</t>
        </is>
      </c>
      <c r="C875" s="68" t="inlineStr">
        <is>
          <t>)~!!</t>
        </is>
      </c>
      <c r="D875" s="66" t="inlineStr">
        <is>
          <t> </t>
        </is>
      </c>
      <c r="E875" s="66" t="inlineStr">
        <is>
          <t></t>
        </is>
      </c>
    </row>
    <row r="876" ht="28.5" customHeight="1" s="71">
      <c r="A876" s="68" t="n">
        <v>-913</v>
      </c>
      <c r="B876" s="68" t="inlineStr">
        <is>
          <t>,.//|b</t>
        </is>
      </c>
      <c r="C876" s="68" t="inlineStr">
        <is>
          <t>,.)!!(</t>
        </is>
      </c>
      <c r="D876" s="66" t="inlineStr">
        <is>
          <t>   </t>
        </is>
      </c>
      <c r="E876" s="66" t="inlineStr">
        <is>
          <t>  </t>
        </is>
      </c>
    </row>
    <row r="877" ht="28.5" customHeight="1" s="71">
      <c r="A877" s="68" t="n">
        <v>-912</v>
      </c>
      <c r="B877" s="68" t="inlineStr">
        <is>
          <t>.//|b</t>
        </is>
      </c>
      <c r="C877" s="68" t="inlineStr">
        <is>
          <t>.)!!(</t>
        </is>
      </c>
      <c r="D877" s="66" t="inlineStr">
        <is>
          <t>  </t>
        </is>
      </c>
      <c r="E877" s="66" t="inlineStr">
        <is>
          <t> </t>
        </is>
      </c>
    </row>
    <row r="878" ht="28.5" customHeight="1" s="71">
      <c r="A878" s="68" t="n">
        <v>-911</v>
      </c>
      <c r="B878" s="68" t="inlineStr">
        <is>
          <t>`.//|b</t>
        </is>
      </c>
      <c r="C878" s="68" t="inlineStr">
        <is>
          <t>`.)!!(</t>
        </is>
      </c>
      <c r="D878" s="66" t="inlineStr">
        <is>
          <t>   </t>
        </is>
      </c>
      <c r="E878" s="66" t="inlineStr">
        <is>
          <t>  </t>
        </is>
      </c>
    </row>
    <row r="879" ht="28.5" customHeight="1" s="71">
      <c r="A879" s="68" t="n">
        <v>-910</v>
      </c>
      <c r="B879" s="68" t="inlineStr">
        <is>
          <t>,,//|b</t>
        </is>
      </c>
      <c r="C879" s="68" t="inlineStr">
        <is>
          <t>,,)!!(</t>
        </is>
      </c>
      <c r="D879" s="66" t="inlineStr">
        <is>
          <t>  </t>
        </is>
      </c>
      <c r="E879" s="66" t="inlineStr">
        <is>
          <t> </t>
        </is>
      </c>
    </row>
    <row r="880" ht="28.5" customHeight="1" s="71">
      <c r="A880" s="68" t="n">
        <v>-909</v>
      </c>
      <c r="B880" s="68" t="inlineStr">
        <is>
          <t>,//|b</t>
        </is>
      </c>
      <c r="C880" s="68" t="inlineStr">
        <is>
          <t>,)!!(</t>
        </is>
      </c>
      <c r="D880" s="66" t="inlineStr">
        <is>
          <t>  </t>
        </is>
      </c>
      <c r="E880" s="66" t="inlineStr">
        <is>
          <t> </t>
        </is>
      </c>
    </row>
    <row r="881" ht="28.5" customHeight="1" s="71">
      <c r="A881" s="68" t="n">
        <v>-908</v>
      </c>
      <c r="B881" s="68" t="inlineStr">
        <is>
          <t>//|b</t>
        </is>
      </c>
      <c r="C881" s="68" t="inlineStr">
        <is>
          <t>)!!(</t>
        </is>
      </c>
      <c r="D881" s="66" t="inlineStr">
        <is>
          <t> </t>
        </is>
      </c>
      <c r="E881" s="66" t="inlineStr">
        <is>
          <t></t>
        </is>
      </c>
    </row>
    <row r="882" ht="28.5" customHeight="1" s="71">
      <c r="A882" s="68" t="n">
        <v>-907</v>
      </c>
      <c r="B882" s="68" t="inlineStr">
        <is>
          <t>`//|b</t>
        </is>
      </c>
      <c r="C882" s="68" t="inlineStr">
        <is>
          <t>`)!!(</t>
        </is>
      </c>
      <c r="D882" s="66" t="inlineStr">
        <is>
          <t>  </t>
        </is>
      </c>
      <c r="E882" s="66" t="inlineStr">
        <is>
          <t> </t>
        </is>
      </c>
    </row>
    <row r="883" ht="28.5" customHeight="1" s="71">
      <c r="A883" s="68" t="n">
        <v>-906</v>
      </c>
      <c r="B883" s="68" t="inlineStr">
        <is>
          <t>``//|b</t>
        </is>
      </c>
      <c r="C883" s="68" t="inlineStr">
        <is>
          <t>``)!!(</t>
        </is>
      </c>
      <c r="D883" s="66" t="inlineStr">
        <is>
          <t>  </t>
        </is>
      </c>
      <c r="E883" s="66" t="inlineStr">
        <is>
          <t> </t>
        </is>
      </c>
    </row>
    <row r="884" ht="28.5" customHeight="1" s="71">
      <c r="A884" s="68" t="n">
        <v>-905</v>
      </c>
      <c r="B884" s="68" t="inlineStr">
        <is>
          <t>,'//|b</t>
        </is>
      </c>
      <c r="C884" s="68" t="inlineStr">
        <is>
          <t>,')!!(</t>
        </is>
      </c>
      <c r="D884" s="66" t="inlineStr">
        <is>
          <t>   </t>
        </is>
      </c>
      <c r="E884" s="66" t="inlineStr">
        <is>
          <t>  </t>
        </is>
      </c>
    </row>
    <row r="885" ht="28.5" customHeight="1" s="71">
      <c r="A885" s="68" t="n">
        <v>-904</v>
      </c>
      <c r="B885" s="68" t="inlineStr">
        <is>
          <t>'//|b</t>
        </is>
      </c>
      <c r="C885" s="68" t="inlineStr">
        <is>
          <t>')!!(</t>
        </is>
      </c>
      <c r="D885" s="66" t="inlineStr">
        <is>
          <t>  </t>
        </is>
      </c>
      <c r="E885" s="66" t="inlineStr">
        <is>
          <t> </t>
        </is>
      </c>
    </row>
    <row r="886" ht="28.5" customHeight="1" s="71">
      <c r="A886" s="68" t="n">
        <v>-2000</v>
      </c>
      <c r="B886" s="68" t="inlineStr">
        <is>
          <t>bb</t>
        </is>
      </c>
      <c r="C886" s="68" t="inlineStr">
        <is>
          <t>\Y/</t>
        </is>
      </c>
      <c r="D886" s="69" t="inlineStr">
        <is>
          <t></t>
        </is>
      </c>
      <c r="E886" s="66" t="inlineStr">
        <is>
          <t></t>
        </is>
      </c>
    </row>
    <row r="887" ht="28.5" customHeight="1" s="71">
      <c r="A887" s="68" t="n">
        <v>-1999</v>
      </c>
      <c r="B887" s="68" t="inlineStr">
        <is>
          <t>`|bb</t>
        </is>
      </c>
      <c r="C887" s="68" t="inlineStr">
        <is>
          <t>`\Y/</t>
        </is>
      </c>
      <c r="D887" s="66" t="inlineStr">
        <is>
          <t>  </t>
        </is>
      </c>
      <c r="E887" s="66" t="inlineStr">
        <is>
          <t> </t>
        </is>
      </c>
    </row>
    <row r="888" ht="28.5" customHeight="1" s="71">
      <c r="A888" s="68" t="n">
        <v>-1998</v>
      </c>
      <c r="B888" s="68" t="inlineStr">
        <is>
          <t>``|bb</t>
        </is>
      </c>
      <c r="C888" s="68" t="inlineStr">
        <is>
          <t>``\Y/</t>
        </is>
      </c>
      <c r="D888" s="66" t="inlineStr">
        <is>
          <t>  </t>
        </is>
      </c>
      <c r="E888" s="66" t="inlineStr">
        <is>
          <t> </t>
        </is>
      </c>
    </row>
    <row r="889" ht="28.5" customHeight="1" s="71">
      <c r="A889" s="68" t="n">
        <v>-1997</v>
      </c>
      <c r="B889" s="68" t="inlineStr">
        <is>
          <t>.)|bb</t>
        </is>
      </c>
      <c r="C889" s="68" t="inlineStr">
        <is>
          <t>.(Y~</t>
        </is>
      </c>
      <c r="D889" s="66" t="inlineStr">
        <is>
          <t>  </t>
        </is>
      </c>
      <c r="E889" s="66" t="inlineStr">
        <is>
          <t> </t>
        </is>
      </c>
    </row>
    <row r="890" ht="28.5" customHeight="1" s="71">
      <c r="A890" s="68" t="n">
        <v>-1996</v>
      </c>
      <c r="B890" s="67" t="inlineStr">
        <is>
          <t>'|bb</t>
        </is>
      </c>
      <c r="C890" s="68" t="inlineStr">
        <is>
          <t>'\Y/</t>
        </is>
      </c>
      <c r="D890" s="66" t="inlineStr">
        <is>
          <t>  </t>
        </is>
      </c>
      <c r="E890" s="66" t="inlineStr">
        <is>
          <t> </t>
        </is>
      </c>
    </row>
    <row r="891" ht="28.5" customHeight="1" s="71">
      <c r="A891" s="68" t="n">
        <v>-1995</v>
      </c>
      <c r="B891" s="68" t="inlineStr">
        <is>
          <t>`'|bb</t>
        </is>
      </c>
      <c r="C891" s="68" t="inlineStr">
        <is>
          <t>`'\Y/</t>
        </is>
      </c>
      <c r="D891" s="66" t="inlineStr">
        <is>
          <t>   </t>
        </is>
      </c>
      <c r="E891" s="66" t="inlineStr">
        <is>
          <t>  </t>
        </is>
      </c>
    </row>
    <row r="892" ht="28.5" customHeight="1" s="71">
      <c r="A892" s="68" t="n">
        <v>-1994</v>
      </c>
      <c r="B892" s="68" t="inlineStr">
        <is>
          <t>,)|bb</t>
        </is>
      </c>
      <c r="C892" s="68" t="inlineStr">
        <is>
          <t>,(Y~</t>
        </is>
      </c>
      <c r="D892" s="66" t="inlineStr">
        <is>
          <t>  </t>
        </is>
      </c>
      <c r="E892" s="66" t="inlineStr">
        <is>
          <t> </t>
        </is>
      </c>
    </row>
    <row r="893" ht="28.5" customHeight="1" s="71">
      <c r="A893" s="68" t="n">
        <v>-1993</v>
      </c>
      <c r="B893" s="68" t="inlineStr">
        <is>
          <t>)|bb</t>
        </is>
      </c>
      <c r="C893" s="68" t="inlineStr">
        <is>
          <t>(Y~</t>
        </is>
      </c>
      <c r="D893" s="66" t="inlineStr">
        <is>
          <t> </t>
        </is>
      </c>
      <c r="E893" s="66" t="inlineStr">
        <is>
          <t></t>
        </is>
      </c>
    </row>
    <row r="894" ht="28.5" customHeight="1" s="71">
      <c r="A894" s="68" t="n">
        <v>-1992</v>
      </c>
      <c r="B894" s="68" t="inlineStr">
        <is>
          <t>`)|bb</t>
        </is>
      </c>
      <c r="C894" s="68" t="inlineStr">
        <is>
          <t>`(Y~</t>
        </is>
      </c>
      <c r="D894" s="66" t="inlineStr">
        <is>
          <t>  </t>
        </is>
      </c>
      <c r="E894" s="66" t="inlineStr">
        <is>
          <t> </t>
        </is>
      </c>
    </row>
    <row r="895" ht="28.5" customHeight="1" s="71">
      <c r="A895" s="68" t="n">
        <v>-1991</v>
      </c>
      <c r="B895" s="68" t="inlineStr">
        <is>
          <t>``)|bb</t>
        </is>
      </c>
      <c r="C895" s="68" t="inlineStr">
        <is>
          <t>``(Y~</t>
        </is>
      </c>
      <c r="D895" s="66" t="inlineStr">
        <is>
          <t>  </t>
        </is>
      </c>
      <c r="E895" s="66" t="inlineStr">
        <is>
          <t> </t>
        </is>
      </c>
    </row>
    <row r="896" ht="28.5" customHeight="1" s="71">
      <c r="A896" s="68" t="n">
        <v>-1990</v>
      </c>
      <c r="B896" s="68" t="inlineStr">
        <is>
          <t>,,|(bb</t>
        </is>
      </c>
      <c r="C896" s="68" t="inlineStr">
        <is>
          <t>,,\Y)</t>
        </is>
      </c>
      <c r="D896" s="66" t="inlineStr">
        <is>
          <t>  </t>
        </is>
      </c>
      <c r="E896" s="66" t="inlineStr">
        <is>
          <t> </t>
        </is>
      </c>
    </row>
    <row r="897" ht="28.5" customHeight="1" s="71">
      <c r="A897" s="68" t="n">
        <v>-1989</v>
      </c>
      <c r="B897" s="68" t="inlineStr">
        <is>
          <t>,|(bb</t>
        </is>
      </c>
      <c r="C897" s="68" t="inlineStr">
        <is>
          <t>,\Y)</t>
        </is>
      </c>
      <c r="D897" s="66" t="inlineStr">
        <is>
          <t>  </t>
        </is>
      </c>
      <c r="E897" s="66" t="inlineStr">
        <is>
          <t> </t>
        </is>
      </c>
    </row>
    <row r="898" ht="28.5" customHeight="1" s="71">
      <c r="A898" s="68" t="n">
        <v>-1988</v>
      </c>
      <c r="B898" s="68" t="inlineStr">
        <is>
          <t>|(bb</t>
        </is>
      </c>
      <c r="C898" s="68" t="inlineStr">
        <is>
          <t>\Y)</t>
        </is>
      </c>
      <c r="D898" s="66" t="inlineStr">
        <is>
          <t> </t>
        </is>
      </c>
      <c r="E898" s="66" t="inlineStr">
        <is>
          <t></t>
        </is>
      </c>
    </row>
    <row r="899" ht="28.5" customHeight="1" s="71">
      <c r="A899" s="68" t="n">
        <v>-1987</v>
      </c>
      <c r="B899" s="68" t="inlineStr">
        <is>
          <t>`|(bb</t>
        </is>
      </c>
      <c r="C899" s="68" t="inlineStr">
        <is>
          <t>`\Y)</t>
        </is>
      </c>
      <c r="D899" s="66" t="inlineStr">
        <is>
          <t>  </t>
        </is>
      </c>
      <c r="E899" s="66" t="inlineStr">
        <is>
          <t> </t>
        </is>
      </c>
    </row>
    <row r="900" ht="28.5" customHeight="1" s="71">
      <c r="A900" s="68" t="n">
        <v>-1986</v>
      </c>
      <c r="B900" s="68" t="inlineStr">
        <is>
          <t>.~|bb</t>
        </is>
      </c>
      <c r="C900" s="68" t="inlineStr">
        <is>
          <t>.)\\Y</t>
        </is>
      </c>
      <c r="D900" s="66" t="inlineStr">
        <is>
          <t>  </t>
        </is>
      </c>
      <c r="E900" s="66" t="inlineStr">
        <is>
          <t> </t>
        </is>
      </c>
    </row>
    <row r="901" ht="28.5" customHeight="1" s="71">
      <c r="A901" s="68" t="n">
        <v>-1985</v>
      </c>
      <c r="B901" s="68" t="inlineStr">
        <is>
          <t>,'|(bb</t>
        </is>
      </c>
      <c r="C901" s="68" t="inlineStr">
        <is>
          <t>,'\Y)</t>
        </is>
      </c>
      <c r="D901" s="66" t="inlineStr">
        <is>
          <t>   </t>
        </is>
      </c>
      <c r="E901" s="66" t="inlineStr">
        <is>
          <t>  </t>
        </is>
      </c>
    </row>
    <row r="902" ht="28.5" customHeight="1" s="71">
      <c r="A902" s="68" t="n">
        <v>-1984</v>
      </c>
      <c r="B902" s="68" t="inlineStr">
        <is>
          <t>'|(bb</t>
        </is>
      </c>
      <c r="C902" s="68" t="inlineStr">
        <is>
          <t>'\Y)</t>
        </is>
      </c>
      <c r="D902" s="66" t="inlineStr">
        <is>
          <t>  </t>
        </is>
      </c>
      <c r="E902" s="66" t="inlineStr">
        <is>
          <t> </t>
        </is>
      </c>
    </row>
    <row r="903" ht="28.5" customHeight="1" s="71">
      <c r="A903" s="68" t="n">
        <v>-1983</v>
      </c>
      <c r="B903" s="68" t="inlineStr">
        <is>
          <t>,~|bb</t>
        </is>
      </c>
      <c r="C903" s="68" t="inlineStr">
        <is>
          <t>,)\\Y</t>
        </is>
      </c>
      <c r="D903" s="66" t="inlineStr">
        <is>
          <t>  </t>
        </is>
      </c>
      <c r="E903" s="66" t="inlineStr">
        <is>
          <t> </t>
        </is>
      </c>
    </row>
    <row r="904" ht="28.5" customHeight="1" s="71">
      <c r="A904" s="68" t="n">
        <v>-1982</v>
      </c>
      <c r="B904" s="68" t="inlineStr">
        <is>
          <t>~|bb</t>
        </is>
      </c>
      <c r="C904" s="68" t="inlineStr">
        <is>
          <t>)\\Y</t>
        </is>
      </c>
      <c r="D904" s="66" t="inlineStr">
        <is>
          <t> </t>
        </is>
      </c>
      <c r="E904" s="66" t="inlineStr">
        <is>
          <t></t>
        </is>
      </c>
    </row>
    <row r="905" ht="28.5" customHeight="1" s="71">
      <c r="A905" s="68" t="n">
        <v>-1981</v>
      </c>
      <c r="B905" s="68" t="inlineStr">
        <is>
          <t>,)|(bb</t>
        </is>
      </c>
      <c r="C905" s="68" t="inlineStr">
        <is>
          <t>,\\Y</t>
        </is>
      </c>
      <c r="D905" s="66" t="inlineStr">
        <is>
          <t>  </t>
        </is>
      </c>
      <c r="E905" s="66" t="inlineStr">
        <is>
          <t> </t>
        </is>
      </c>
    </row>
    <row r="906" ht="28.5" customHeight="1" s="71">
      <c r="A906" s="68" t="n">
        <v>-1980</v>
      </c>
      <c r="B906" s="68" t="inlineStr">
        <is>
          <t>)|(bb</t>
        </is>
      </c>
      <c r="C906" s="68" t="inlineStr">
        <is>
          <t>\\Y</t>
        </is>
      </c>
      <c r="D906" s="66" t="inlineStr">
        <is>
          <t> </t>
        </is>
      </c>
      <c r="E906" s="66" t="inlineStr">
        <is>
          <t></t>
        </is>
      </c>
    </row>
    <row r="907" ht="28.5" customHeight="1" s="71">
      <c r="A907" s="68" t="n">
        <v>-1979</v>
      </c>
      <c r="B907" s="68" t="inlineStr">
        <is>
          <t>`)|(bb</t>
        </is>
      </c>
      <c r="C907" s="68" t="inlineStr">
        <is>
          <t>`\\Y</t>
        </is>
      </c>
      <c r="D907" s="66" t="inlineStr">
        <is>
          <t>  </t>
        </is>
      </c>
      <c r="E907" s="66" t="inlineStr">
        <is>
          <t> </t>
        </is>
      </c>
    </row>
    <row r="908" ht="28.5" customHeight="1" s="71">
      <c r="A908" s="68" t="n">
        <v>-1978</v>
      </c>
      <c r="B908" s="68" t="inlineStr">
        <is>
          <t>``)|(bb</t>
        </is>
      </c>
      <c r="C908" s="68" t="inlineStr">
        <is>
          <t>``\\Y</t>
        </is>
      </c>
      <c r="D908" s="66" t="inlineStr">
        <is>
          <t>  </t>
        </is>
      </c>
      <c r="E908" s="66" t="inlineStr">
        <is>
          <t> </t>
        </is>
      </c>
    </row>
    <row r="909" ht="28.5" customHeight="1" s="71">
      <c r="A909" s="68" t="n">
        <v>-1977</v>
      </c>
      <c r="B909" s="68" t="inlineStr">
        <is>
          <t>,')|(bb</t>
        </is>
      </c>
      <c r="C909" s="68" t="inlineStr">
        <is>
          <t>,'\\Y</t>
        </is>
      </c>
      <c r="D909" s="66" t="inlineStr">
        <is>
          <t>   </t>
        </is>
      </c>
      <c r="E909" s="66" t="inlineStr">
        <is>
          <t>  </t>
        </is>
      </c>
    </row>
    <row r="910" ht="28.5" customHeight="1" s="71">
      <c r="A910" s="68" t="n">
        <v>-1976</v>
      </c>
      <c r="B910" s="68" t="inlineStr">
        <is>
          <t>')|(bb</t>
        </is>
      </c>
      <c r="C910" s="68" t="inlineStr">
        <is>
          <t>'\\Y</t>
        </is>
      </c>
      <c r="D910" s="66" t="inlineStr">
        <is>
          <t>  </t>
        </is>
      </c>
      <c r="E910" s="66" t="inlineStr">
        <is>
          <t> </t>
        </is>
      </c>
    </row>
    <row r="911" ht="28.5" customHeight="1" s="71">
      <c r="A911" s="68" t="n">
        <v>-1975</v>
      </c>
      <c r="B911" s="68" t="inlineStr">
        <is>
          <t>)~|bb</t>
        </is>
      </c>
      <c r="C911" s="68" t="inlineStr">
        <is>
          <t>~Y/</t>
        </is>
      </c>
      <c r="D911" s="66" t="inlineStr">
        <is>
          <t> </t>
        </is>
      </c>
      <c r="E911" s="66" t="inlineStr">
        <is>
          <t></t>
        </is>
      </c>
    </row>
    <row r="912" ht="28.5" customHeight="1" s="71">
      <c r="A912" s="68" t="n">
        <v>-1974</v>
      </c>
      <c r="B912" s="68" t="inlineStr">
        <is>
          <t>.~|(bb</t>
        </is>
      </c>
      <c r="C912" s="68" t="inlineStr">
        <is>
          <t>.(Y(</t>
        </is>
      </c>
      <c r="D912" s="66" t="inlineStr">
        <is>
          <t>  </t>
        </is>
      </c>
      <c r="E912" s="66" t="inlineStr">
        <is>
          <t> </t>
        </is>
      </c>
    </row>
    <row r="913" ht="28.5" customHeight="1" s="71">
      <c r="A913" s="68" t="n">
        <v>-1973</v>
      </c>
      <c r="B913" s="68" t="inlineStr">
        <is>
          <t>`.~|(bb</t>
        </is>
      </c>
      <c r="C913" s="68" t="inlineStr">
        <is>
          <t>`.(Y(</t>
        </is>
      </c>
      <c r="D913" s="66" t="inlineStr">
        <is>
          <t>   </t>
        </is>
      </c>
      <c r="E913" s="66" t="inlineStr">
        <is>
          <t>  </t>
        </is>
      </c>
    </row>
    <row r="914" ht="28.5" customHeight="1" s="71">
      <c r="A914" s="68" t="n">
        <v>-1972</v>
      </c>
      <c r="B914" s="68" t="inlineStr">
        <is>
          <t>,,~|(bb</t>
        </is>
      </c>
      <c r="C914" s="68" t="inlineStr">
        <is>
          <t>,,(Y(</t>
        </is>
      </c>
      <c r="D914" s="66" t="inlineStr">
        <is>
          <t>  </t>
        </is>
      </c>
      <c r="E914" s="66" t="inlineStr">
        <is>
          <t> </t>
        </is>
      </c>
    </row>
    <row r="915" ht="28.5" customHeight="1" s="71">
      <c r="A915" s="68" t="n">
        <v>-1971</v>
      </c>
      <c r="B915" s="68" t="inlineStr">
        <is>
          <t>,~|(bb</t>
        </is>
      </c>
      <c r="C915" s="68" t="inlineStr">
        <is>
          <t>,(Y(</t>
        </is>
      </c>
      <c r="D915" s="66" t="inlineStr">
        <is>
          <t>  </t>
        </is>
      </c>
      <c r="E915" s="66" t="inlineStr">
        <is>
          <t> </t>
        </is>
      </c>
    </row>
    <row r="916" ht="28.5" customHeight="1" s="71">
      <c r="A916" s="68" t="n">
        <v>-1970</v>
      </c>
      <c r="B916" s="68" t="inlineStr">
        <is>
          <t>~|(bb</t>
        </is>
      </c>
      <c r="C916" s="68" t="inlineStr">
        <is>
          <t>(Y(</t>
        </is>
      </c>
      <c r="D916" s="66" t="inlineStr">
        <is>
          <t> </t>
        </is>
      </c>
      <c r="E916" s="66" t="inlineStr">
        <is>
          <t></t>
        </is>
      </c>
    </row>
    <row r="917" ht="28.5" customHeight="1" s="71">
      <c r="A917" s="68" t="n">
        <v>-1969</v>
      </c>
      <c r="B917" s="68" t="inlineStr">
        <is>
          <t>`~|(bb</t>
        </is>
      </c>
      <c r="C917" s="68" t="inlineStr">
        <is>
          <t>`(Y(</t>
        </is>
      </c>
      <c r="D917" s="66" t="inlineStr">
        <is>
          <t>  </t>
        </is>
      </c>
      <c r="E917" s="66" t="inlineStr">
        <is>
          <t> </t>
        </is>
      </c>
    </row>
    <row r="918" ht="28.5" customHeight="1" s="71">
      <c r="A918" s="68" t="n">
        <v>-1968</v>
      </c>
      <c r="B918" s="68" t="inlineStr">
        <is>
          <t>,,|~bb</t>
        </is>
      </c>
      <c r="C918" s="68" t="inlineStr">
        <is>
          <t>,,\Y~</t>
        </is>
      </c>
      <c r="D918" s="66" t="inlineStr">
        <is>
          <t>  </t>
        </is>
      </c>
      <c r="E918" s="66" t="inlineStr">
        <is>
          <t> </t>
        </is>
      </c>
    </row>
    <row r="919" ht="28.5" customHeight="1" s="71">
      <c r="A919" s="68" t="n">
        <v>-1967</v>
      </c>
      <c r="B919" s="68" t="inlineStr">
        <is>
          <t>,|~bb</t>
        </is>
      </c>
      <c r="C919" s="68" t="inlineStr">
        <is>
          <t>,\Y~</t>
        </is>
      </c>
      <c r="D919" s="66" t="inlineStr">
        <is>
          <t>  </t>
        </is>
      </c>
      <c r="E919" s="66" t="inlineStr">
        <is>
          <t> </t>
        </is>
      </c>
    </row>
    <row r="920" ht="28.5" customHeight="1" s="71">
      <c r="A920" s="68" t="n">
        <v>-1966</v>
      </c>
      <c r="B920" s="68" t="inlineStr">
        <is>
          <t>|~bb</t>
        </is>
      </c>
      <c r="C920" s="68" t="inlineStr">
        <is>
          <t>\Y~</t>
        </is>
      </c>
      <c r="D920" s="66" t="inlineStr">
        <is>
          <t> </t>
        </is>
      </c>
      <c r="E920" s="66" t="inlineStr">
        <is>
          <t></t>
        </is>
      </c>
    </row>
    <row r="921" ht="28.5" customHeight="1" s="71">
      <c r="A921" s="68" t="n">
        <v>-1965</v>
      </c>
      <c r="B921" s="68" t="inlineStr">
        <is>
          <t>`|~bb</t>
        </is>
      </c>
      <c r="C921" s="68" t="inlineStr">
        <is>
          <t>`\Y~</t>
        </is>
      </c>
      <c r="D921" s="66" t="inlineStr">
        <is>
          <t>  </t>
        </is>
      </c>
      <c r="E921" s="66" t="inlineStr">
        <is>
          <t> </t>
        </is>
      </c>
    </row>
    <row r="922" ht="28.5" customHeight="1" s="71">
      <c r="A922" s="68" t="n">
        <v>-1964</v>
      </c>
      <c r="B922" s="68" t="inlineStr">
        <is>
          <t>~~|bb</t>
        </is>
      </c>
      <c r="C922" s="68" t="inlineStr">
        <is>
          <t>~Y)</t>
        </is>
      </c>
      <c r="D922" s="66" t="inlineStr">
        <is>
          <t> </t>
        </is>
      </c>
      <c r="E922" s="66" t="inlineStr">
        <is>
          <t></t>
        </is>
      </c>
    </row>
    <row r="923" ht="28.5" customHeight="1" s="71">
      <c r="A923" s="68" t="n">
        <v>-1963</v>
      </c>
      <c r="B923" s="68" t="inlineStr">
        <is>
          <t>`~~|bb</t>
        </is>
      </c>
      <c r="C923" s="68" t="inlineStr">
        <is>
          <t>`~Y)</t>
        </is>
      </c>
      <c r="D923" s="66" t="inlineStr">
        <is>
          <t>  </t>
        </is>
      </c>
      <c r="E923" s="66" t="inlineStr">
        <is>
          <t> </t>
        </is>
      </c>
    </row>
    <row r="924" ht="28.5" customHeight="1" s="71">
      <c r="A924" s="68" t="n">
        <v>-1962</v>
      </c>
      <c r="B924" s="68" t="inlineStr">
        <is>
          <t>``~~|bb</t>
        </is>
      </c>
      <c r="C924" s="68" t="inlineStr">
        <is>
          <t>``~Y)</t>
        </is>
      </c>
      <c r="D924" s="66" t="inlineStr">
        <is>
          <t>  </t>
        </is>
      </c>
      <c r="E924" s="66" t="inlineStr">
        <is>
          <t> </t>
        </is>
      </c>
    </row>
    <row r="925" ht="28.5" customHeight="1" s="71">
      <c r="A925" s="68" t="n">
        <v>-1961</v>
      </c>
      <c r="B925" s="68" t="inlineStr">
        <is>
          <t>,./|bb</t>
        </is>
      </c>
      <c r="C925" s="68" t="inlineStr">
        <is>
          <t>,.Y/</t>
        </is>
      </c>
      <c r="D925" s="66" t="inlineStr">
        <is>
          <t>   </t>
        </is>
      </c>
      <c r="E925" s="66" t="inlineStr">
        <is>
          <t>  </t>
        </is>
      </c>
    </row>
    <row r="926" ht="28.5" customHeight="1" s="71">
      <c r="A926" s="68" t="n">
        <v>-1960</v>
      </c>
      <c r="B926" s="68" t="inlineStr">
        <is>
          <t>./|bb</t>
        </is>
      </c>
      <c r="C926" s="68" t="inlineStr">
        <is>
          <t>.Y/</t>
        </is>
      </c>
      <c r="D926" s="66" t="inlineStr">
        <is>
          <t>  </t>
        </is>
      </c>
      <c r="E926" s="66" t="inlineStr">
        <is>
          <t> </t>
        </is>
      </c>
    </row>
    <row r="927" ht="28.5" customHeight="1" s="71">
      <c r="A927" s="68" t="n">
        <v>-1959</v>
      </c>
      <c r="B927" s="68" t="inlineStr">
        <is>
          <t>)|~bb</t>
        </is>
      </c>
      <c r="C927" s="68" t="inlineStr">
        <is>
          <t>(Y</t>
        </is>
      </c>
      <c r="D927" s="66" t="inlineStr">
        <is>
          <t> </t>
        </is>
      </c>
      <c r="E927" s="66" t="inlineStr">
        <is>
          <t></t>
        </is>
      </c>
    </row>
    <row r="928" ht="28.5" customHeight="1" s="71">
      <c r="A928" s="68" t="n">
        <v>-1958</v>
      </c>
      <c r="B928" s="68" t="inlineStr">
        <is>
          <t>,,/|bb</t>
        </is>
      </c>
      <c r="C928" s="68" t="inlineStr">
        <is>
          <t>,,Y/</t>
        </is>
      </c>
      <c r="D928" s="66" t="inlineStr">
        <is>
          <t>  </t>
        </is>
      </c>
      <c r="E928" s="66" t="inlineStr">
        <is>
          <t> </t>
        </is>
      </c>
    </row>
    <row r="929" ht="28.5" customHeight="1" s="71">
      <c r="A929" s="68" t="n">
        <v>-1957</v>
      </c>
      <c r="B929" s="68" t="inlineStr">
        <is>
          <t>,/|bb</t>
        </is>
      </c>
      <c r="C929" s="68" t="inlineStr">
        <is>
          <t>,Y/</t>
        </is>
      </c>
      <c r="D929" s="66" t="inlineStr">
        <is>
          <t>  </t>
        </is>
      </c>
      <c r="E929" s="66" t="inlineStr">
        <is>
          <t> </t>
        </is>
      </c>
    </row>
    <row r="930" ht="28.5" customHeight="1" s="71">
      <c r="A930" s="68" t="n">
        <v>-1956</v>
      </c>
      <c r="B930" s="68" t="inlineStr">
        <is>
          <t>/|bb</t>
        </is>
      </c>
      <c r="C930" s="68" t="inlineStr">
        <is>
          <t>Y/</t>
        </is>
      </c>
      <c r="D930" s="66" t="inlineStr">
        <is>
          <t> </t>
        </is>
      </c>
      <c r="E930" s="66" t="inlineStr">
        <is>
          <t></t>
        </is>
      </c>
    </row>
    <row r="931" ht="28.5" customHeight="1" s="71">
      <c r="A931" s="68" t="n">
        <v>-1955</v>
      </c>
      <c r="B931" s="68" t="inlineStr">
        <is>
          <t>`/|bb</t>
        </is>
      </c>
      <c r="C931" s="68" t="inlineStr">
        <is>
          <t>`Y/</t>
        </is>
      </c>
      <c r="D931" s="66" t="inlineStr">
        <is>
          <t>  </t>
        </is>
      </c>
      <c r="E931" s="66" t="inlineStr">
        <is>
          <t> </t>
        </is>
      </c>
    </row>
    <row r="932" ht="28.5" customHeight="1" s="71">
      <c r="A932" s="68" t="n">
        <v>-1954</v>
      </c>
      <c r="B932" s="68" t="inlineStr">
        <is>
          <t>``/|bb</t>
        </is>
      </c>
      <c r="C932" s="68" t="inlineStr">
        <is>
          <t>``Y/</t>
        </is>
      </c>
      <c r="D932" s="66" t="inlineStr">
        <is>
          <t>  </t>
        </is>
      </c>
      <c r="E932" s="66" t="inlineStr">
        <is>
          <t> </t>
        </is>
      </c>
    </row>
    <row r="933" ht="28.5" customHeight="1" s="71">
      <c r="A933" s="68" t="n">
        <v>-1953</v>
      </c>
      <c r="B933" s="68" t="inlineStr">
        <is>
          <t>.)/|bb</t>
        </is>
      </c>
      <c r="C933" s="68" t="inlineStr">
        <is>
          <t>.)Y)</t>
        </is>
      </c>
      <c r="D933" s="66" t="inlineStr">
        <is>
          <t>  </t>
        </is>
      </c>
      <c r="E933" s="66" t="inlineStr">
        <is>
          <t> </t>
        </is>
      </c>
    </row>
    <row r="934" ht="28.5" customHeight="1" s="71">
      <c r="A934" s="68" t="n">
        <v>-1952</v>
      </c>
      <c r="B934" s="68" t="inlineStr">
        <is>
          <t>'/|bb</t>
        </is>
      </c>
      <c r="C934" s="68" t="inlineStr">
        <is>
          <t>'Y/</t>
        </is>
      </c>
      <c r="D934" s="66" t="inlineStr">
        <is>
          <t>  </t>
        </is>
      </c>
      <c r="E934" s="66" t="inlineStr">
        <is>
          <t> </t>
        </is>
      </c>
    </row>
    <row r="935" ht="28.5" customHeight="1" s="71">
      <c r="A935" s="68" t="n">
        <v>-1951</v>
      </c>
      <c r="B935" s="68" t="inlineStr">
        <is>
          <t>`'/|bb</t>
        </is>
      </c>
      <c r="C935" s="68" t="inlineStr">
        <is>
          <t>`'Y/</t>
        </is>
      </c>
      <c r="D935" s="66" t="inlineStr">
        <is>
          <t>   </t>
        </is>
      </c>
      <c r="E935" s="66" t="inlineStr">
        <is>
          <t>  </t>
        </is>
      </c>
    </row>
    <row r="936" ht="28.5" customHeight="1" s="71">
      <c r="A936" s="68" t="n">
        <v>-1950</v>
      </c>
      <c r="B936" s="68" t="inlineStr">
        <is>
          <t>,,)/|bb</t>
        </is>
      </c>
      <c r="C936" s="68" t="inlineStr">
        <is>
          <t>,,)Y)</t>
        </is>
      </c>
      <c r="D936" s="66" t="inlineStr">
        <is>
          <t>  </t>
        </is>
      </c>
      <c r="E936" s="66" t="inlineStr">
        <is>
          <t> </t>
        </is>
      </c>
    </row>
    <row r="937" ht="28.5" customHeight="1" s="71">
      <c r="A937" s="68" t="n">
        <v>-1949</v>
      </c>
      <c r="B937" s="68" t="inlineStr">
        <is>
          <t>,)/|bb</t>
        </is>
      </c>
      <c r="C937" s="68" t="inlineStr">
        <is>
          <t>,)Y)</t>
        </is>
      </c>
      <c r="D937" s="66" t="inlineStr">
        <is>
          <t>  </t>
        </is>
      </c>
      <c r="E937" s="66" t="inlineStr">
        <is>
          <t> </t>
        </is>
      </c>
    </row>
    <row r="938" ht="28.5" customHeight="1" s="71">
      <c r="A938" s="68" t="n">
        <v>-1948</v>
      </c>
      <c r="B938" s="68" t="inlineStr">
        <is>
          <t>)/|bb</t>
        </is>
      </c>
      <c r="C938" s="68" t="inlineStr">
        <is>
          <t>)Y)</t>
        </is>
      </c>
      <c r="D938" s="66" t="inlineStr">
        <is>
          <t> </t>
        </is>
      </c>
      <c r="E938" s="66" t="inlineStr">
        <is>
          <t></t>
        </is>
      </c>
    </row>
    <row r="939" ht="28.5" customHeight="1" s="71">
      <c r="A939" s="68" t="n">
        <v>-1947</v>
      </c>
      <c r="B939" s="68" t="inlineStr">
        <is>
          <t>,.|)bb</t>
        </is>
      </c>
      <c r="C939" s="68" t="inlineStr">
        <is>
          <t>,.Y)</t>
        </is>
      </c>
      <c r="D939" s="66" t="inlineStr">
        <is>
          <t>   </t>
        </is>
      </c>
      <c r="E939" s="66" t="inlineStr">
        <is>
          <t>  </t>
        </is>
      </c>
    </row>
    <row r="940" ht="28.5" customHeight="1" s="71">
      <c r="A940" s="68" t="n">
        <v>-1946</v>
      </c>
      <c r="B940" s="68" t="inlineStr">
        <is>
          <t>.|)bb</t>
        </is>
      </c>
      <c r="C940" s="68" t="inlineStr">
        <is>
          <t>.Y)</t>
        </is>
      </c>
      <c r="D940" s="66" t="inlineStr">
        <is>
          <t>  </t>
        </is>
      </c>
      <c r="E940" s="66" t="inlineStr">
        <is>
          <t> </t>
        </is>
      </c>
    </row>
    <row r="941" ht="28.5" customHeight="1" s="71">
      <c r="A941" s="68" t="n">
        <v>-1945</v>
      </c>
      <c r="B941" s="68" t="inlineStr">
        <is>
          <t>`.|)bb</t>
        </is>
      </c>
      <c r="C941" s="68" t="inlineStr">
        <is>
          <t>`.Y)</t>
        </is>
      </c>
      <c r="D941" s="66" t="inlineStr">
        <is>
          <t>   </t>
        </is>
      </c>
      <c r="E941" s="66" t="inlineStr">
        <is>
          <t>  </t>
        </is>
      </c>
    </row>
    <row r="942" ht="28.5" customHeight="1" s="71">
      <c r="A942" s="68" t="n">
        <v>-1944</v>
      </c>
      <c r="B942" s="68" t="inlineStr">
        <is>
          <t>,,|)bb</t>
        </is>
      </c>
      <c r="C942" s="68" t="inlineStr">
        <is>
          <t>,,Y)</t>
        </is>
      </c>
      <c r="D942" s="66" t="inlineStr">
        <is>
          <t>  </t>
        </is>
      </c>
      <c r="E942" s="66" t="inlineStr">
        <is>
          <t> </t>
        </is>
      </c>
    </row>
    <row r="943" ht="28.5" customHeight="1" s="71">
      <c r="A943" s="68" t="n">
        <v>-1943</v>
      </c>
      <c r="B943" s="68" t="inlineStr">
        <is>
          <t>,|)bb</t>
        </is>
      </c>
      <c r="C943" s="68" t="inlineStr">
        <is>
          <t>,Y)</t>
        </is>
      </c>
      <c r="D943" s="66" t="inlineStr">
        <is>
          <t>  </t>
        </is>
      </c>
      <c r="E943" s="66" t="inlineStr">
        <is>
          <t> </t>
        </is>
      </c>
    </row>
    <row r="944" ht="28.5" customHeight="1" s="71">
      <c r="A944" s="68" t="n">
        <v>-1942</v>
      </c>
      <c r="B944" s="68" t="inlineStr">
        <is>
          <t>|)bb</t>
        </is>
      </c>
      <c r="C944" s="68" t="inlineStr">
        <is>
          <t>Y)</t>
        </is>
      </c>
      <c r="D944" s="66" t="inlineStr">
        <is>
          <t> </t>
        </is>
      </c>
      <c r="E944" s="66" t="inlineStr">
        <is>
          <t></t>
        </is>
      </c>
    </row>
    <row r="945" ht="28.5" customHeight="1" s="71">
      <c r="A945" s="68" t="n">
        <v>-1941</v>
      </c>
      <c r="B945" s="68" t="inlineStr">
        <is>
          <t>`|)bb</t>
        </is>
      </c>
      <c r="C945" s="68" t="inlineStr">
        <is>
          <t>`Y)</t>
        </is>
      </c>
      <c r="D945" s="66" t="inlineStr">
        <is>
          <t>  </t>
        </is>
      </c>
      <c r="E945" s="66" t="inlineStr">
        <is>
          <t> </t>
        </is>
      </c>
    </row>
    <row r="946" ht="28.5" customHeight="1" s="71">
      <c r="A946" s="68" t="n">
        <v>-1940</v>
      </c>
      <c r="B946" s="68" t="inlineStr">
        <is>
          <t>``|)bb</t>
        </is>
      </c>
      <c r="C946" s="68" t="inlineStr">
        <is>
          <t>``Y)</t>
        </is>
      </c>
      <c r="D946" s="66" t="inlineStr">
        <is>
          <t>  </t>
        </is>
      </c>
      <c r="E946" s="66" t="inlineStr">
        <is>
          <t> </t>
        </is>
      </c>
    </row>
    <row r="947" ht="28.5" customHeight="1" s="71">
      <c r="A947" s="68" t="n">
        <v>-1939</v>
      </c>
      <c r="B947" s="68" t="inlineStr">
        <is>
          <t>,'|)bb</t>
        </is>
      </c>
      <c r="C947" s="68" t="inlineStr">
        <is>
          <t>,'Y)</t>
        </is>
      </c>
      <c r="D947" s="66" t="inlineStr">
        <is>
          <t>   </t>
        </is>
      </c>
      <c r="E947" s="66" t="inlineStr">
        <is>
          <t>  </t>
        </is>
      </c>
    </row>
    <row r="948" ht="28.5" customHeight="1" s="71">
      <c r="A948" s="68" t="n">
        <v>-1938</v>
      </c>
      <c r="B948" s="68" t="inlineStr">
        <is>
          <t>'|)bb</t>
        </is>
      </c>
      <c r="C948" s="68" t="inlineStr">
        <is>
          <t>'Y)</t>
        </is>
      </c>
      <c r="D948" s="66" t="inlineStr">
        <is>
          <t>  </t>
        </is>
      </c>
      <c r="E948" s="66" t="inlineStr">
        <is>
          <t> </t>
        </is>
      </c>
    </row>
    <row r="949" ht="28.5" customHeight="1" s="71">
      <c r="A949" s="68" t="n">
        <v>-1937</v>
      </c>
      <c r="B949" s="68" t="inlineStr">
        <is>
          <t>`'|)bb</t>
        </is>
      </c>
      <c r="C949" s="68" t="inlineStr">
        <is>
          <t>`'Y)</t>
        </is>
      </c>
      <c r="D949" s="66" t="inlineStr">
        <is>
          <t>   </t>
        </is>
      </c>
      <c r="E949" s="66" t="inlineStr">
        <is>
          <t>  </t>
        </is>
      </c>
    </row>
    <row r="950" ht="28.5" customHeight="1" s="71">
      <c r="A950" s="68" t="n">
        <v>-1936</v>
      </c>
      <c r="B950" s="68" t="inlineStr">
        <is>
          <t>,)|)bb</t>
        </is>
      </c>
      <c r="C950" s="68" t="inlineStr">
        <is>
          <t>,)\Y</t>
        </is>
      </c>
      <c r="D950" s="66" t="inlineStr">
        <is>
          <t>  </t>
        </is>
      </c>
      <c r="E950" s="66" t="inlineStr">
        <is>
          <t> </t>
        </is>
      </c>
    </row>
    <row r="951" ht="28.5" customHeight="1" s="71">
      <c r="A951" s="68" t="n">
        <v>-1935</v>
      </c>
      <c r="B951" s="68" t="inlineStr">
        <is>
          <t>)|)bb</t>
        </is>
      </c>
      <c r="C951" s="68" t="inlineStr">
        <is>
          <t>)\Y</t>
        </is>
      </c>
      <c r="D951" s="66" t="inlineStr">
        <is>
          <t> </t>
        </is>
      </c>
      <c r="E951" s="66" t="inlineStr">
        <is>
          <t></t>
        </is>
      </c>
    </row>
    <row r="952" ht="28.5" customHeight="1" s="71">
      <c r="A952" s="68" t="n">
        <v>-1934</v>
      </c>
      <c r="B952" s="68" t="inlineStr">
        <is>
          <t>.(|bb</t>
        </is>
      </c>
      <c r="C952" s="68" t="inlineStr">
        <is>
          <t>.)Y~</t>
        </is>
      </c>
      <c r="D952" s="66" t="inlineStr">
        <is>
          <t>  </t>
        </is>
      </c>
      <c r="E952" s="66" t="inlineStr">
        <is>
          <t> </t>
        </is>
      </c>
    </row>
    <row r="953" ht="28.5" customHeight="1" s="71">
      <c r="A953" s="68" t="n">
        <v>-1933</v>
      </c>
      <c r="B953" s="68" t="inlineStr">
        <is>
          <t>|\bb</t>
        </is>
      </c>
      <c r="C953" s="68" t="inlineStr">
        <is>
          <t>\Y</t>
        </is>
      </c>
      <c r="D953" s="66" t="inlineStr">
        <is>
          <t> </t>
        </is>
      </c>
      <c r="E953" s="66" t="inlineStr">
        <is>
          <t></t>
        </is>
      </c>
    </row>
    <row r="954" ht="28.5" customHeight="1" s="71">
      <c r="A954" s="68" t="n">
        <v>-1932</v>
      </c>
      <c r="B954" s="68" t="inlineStr">
        <is>
          <t>`|\bb</t>
        </is>
      </c>
      <c r="C954" s="68" t="inlineStr">
        <is>
          <t>`\Y</t>
        </is>
      </c>
      <c r="D954" s="66" t="inlineStr">
        <is>
          <t>  </t>
        </is>
      </c>
      <c r="E954" s="66" t="inlineStr">
        <is>
          <t> </t>
        </is>
      </c>
    </row>
    <row r="955" ht="28.5" customHeight="1" s="71">
      <c r="A955" s="68" t="n">
        <v>-1931</v>
      </c>
      <c r="B955" s="68" t="inlineStr">
        <is>
          <t>,(|bb</t>
        </is>
      </c>
      <c r="C955" s="68" t="inlineStr">
        <is>
          <t>,)Y~</t>
        </is>
      </c>
      <c r="D955" s="66" t="inlineStr">
        <is>
          <t>  </t>
        </is>
      </c>
      <c r="E955" s="66" t="inlineStr">
        <is>
          <t> </t>
        </is>
      </c>
    </row>
    <row r="956" ht="28.5" customHeight="1" s="71">
      <c r="A956" s="68" t="n">
        <v>-1930</v>
      </c>
      <c r="B956" s="68" t="inlineStr">
        <is>
          <t>(|bb</t>
        </is>
      </c>
      <c r="C956" s="68" t="inlineStr">
        <is>
          <t>)Y~</t>
        </is>
      </c>
      <c r="D956" s="66" t="inlineStr">
        <is>
          <t> </t>
        </is>
      </c>
      <c r="E956" s="66" t="inlineStr">
        <is>
          <t></t>
        </is>
      </c>
    </row>
    <row r="957" ht="28.5" customHeight="1" s="71">
      <c r="A957" s="68" t="n">
        <v>-1929</v>
      </c>
      <c r="B957" s="68" t="inlineStr">
        <is>
          <t>`(|bb</t>
        </is>
      </c>
      <c r="C957" s="68" t="inlineStr">
        <is>
          <t>`)Y~</t>
        </is>
      </c>
      <c r="D957" s="66" t="inlineStr">
        <is>
          <t>  </t>
        </is>
      </c>
      <c r="E957" s="66" t="inlineStr">
        <is>
          <t> </t>
        </is>
      </c>
    </row>
    <row r="958" ht="28.5" customHeight="1" s="71">
      <c r="A958" s="68" t="n">
        <v>-1928</v>
      </c>
      <c r="B958" s="68" t="inlineStr">
        <is>
          <t>``(|bb</t>
        </is>
      </c>
      <c r="C958" s="68" t="inlineStr">
        <is>
          <t>``)Y~</t>
        </is>
      </c>
      <c r="D958" s="66" t="inlineStr">
        <is>
          <t>  </t>
        </is>
      </c>
      <c r="E958" s="66" t="inlineStr">
        <is>
          <t> </t>
        </is>
      </c>
    </row>
    <row r="959" ht="28.5" customHeight="1" s="71">
      <c r="A959" s="68" t="n">
        <v>-1927</v>
      </c>
      <c r="B959" s="68" t="inlineStr">
        <is>
          <t>,'(|bb</t>
        </is>
      </c>
      <c r="C959" s="68" t="inlineStr">
        <is>
          <t>,')Y~</t>
        </is>
      </c>
      <c r="D959" s="66" t="inlineStr">
        <is>
          <t>   </t>
        </is>
      </c>
      <c r="E959" s="66" t="inlineStr">
        <is>
          <t>  </t>
        </is>
      </c>
    </row>
    <row r="960" ht="28.5" customHeight="1" s="71">
      <c r="A960" s="68" t="n">
        <v>-1926</v>
      </c>
      <c r="B960" s="68" t="inlineStr">
        <is>
          <t>'(|bb</t>
        </is>
      </c>
      <c r="C960" s="68" t="inlineStr">
        <is>
          <t>')Y~</t>
        </is>
      </c>
      <c r="D960" s="66" t="inlineStr">
        <is>
          <t>  </t>
        </is>
      </c>
      <c r="E960" s="66" t="inlineStr">
        <is>
          <t> </t>
        </is>
      </c>
    </row>
    <row r="961" ht="28.5" customHeight="1" s="71">
      <c r="A961" s="68" t="n">
        <v>-1925</v>
      </c>
      <c r="B961" s="68" t="inlineStr">
        <is>
          <t>,~|)bb</t>
        </is>
      </c>
      <c r="C961" s="68" t="inlineStr">
        <is>
          <t>,~~Y</t>
        </is>
      </c>
      <c r="D961" s="66" t="inlineStr">
        <is>
          <t>  </t>
        </is>
      </c>
      <c r="E961" s="66" t="inlineStr">
        <is>
          <t> </t>
        </is>
      </c>
    </row>
    <row r="962" ht="28.5" customHeight="1" s="71">
      <c r="A962" s="68" t="n">
        <v>-1924</v>
      </c>
      <c r="B962" s="68" t="inlineStr">
        <is>
          <t>~|)bb</t>
        </is>
      </c>
      <c r="C962" s="68" t="inlineStr">
        <is>
          <t>~~Y</t>
        </is>
      </c>
      <c r="D962" s="66" t="inlineStr">
        <is>
          <t> </t>
        </is>
      </c>
      <c r="E962" s="66" t="inlineStr">
        <is>
          <t></t>
        </is>
      </c>
    </row>
    <row r="963" ht="28.5" customHeight="1" s="71">
      <c r="A963" s="68" t="n">
        <v>-1923</v>
      </c>
      <c r="B963" s="68" t="inlineStr">
        <is>
          <t>`~|)bb</t>
        </is>
      </c>
      <c r="C963" s="68" t="inlineStr">
        <is>
          <t>`~~Y</t>
        </is>
      </c>
      <c r="D963" s="66" t="inlineStr">
        <is>
          <t>  </t>
        </is>
      </c>
      <c r="E963" s="66" t="inlineStr">
        <is>
          <t> </t>
        </is>
      </c>
    </row>
    <row r="964" ht="28.5" customHeight="1" s="71">
      <c r="A964" s="68" t="n">
        <v>-1922</v>
      </c>
      <c r="B964" s="68" t="inlineStr">
        <is>
          <t>,.(|(bb</t>
        </is>
      </c>
      <c r="C964" s="68" t="inlineStr">
        <is>
          <t>,.~Y(</t>
        </is>
      </c>
      <c r="D964" s="66" t="inlineStr">
        <is>
          <t>   </t>
        </is>
      </c>
      <c r="E964" s="66" t="inlineStr">
        <is>
          <t>  </t>
        </is>
      </c>
    </row>
    <row r="965" ht="28.5" customHeight="1" s="71">
      <c r="A965" s="68" t="n">
        <v>-1921</v>
      </c>
      <c r="B965" s="68" t="inlineStr">
        <is>
          <t>.(|(bb</t>
        </is>
      </c>
      <c r="C965" s="68" t="inlineStr">
        <is>
          <t>.~Y(</t>
        </is>
      </c>
      <c r="D965" s="66" t="inlineStr">
        <is>
          <t>  </t>
        </is>
      </c>
      <c r="E965" s="66" t="inlineStr">
        <is>
          <t> </t>
        </is>
      </c>
    </row>
    <row r="966" ht="28.5" customHeight="1" s="71">
      <c r="A966" s="68" t="n">
        <v>-1920</v>
      </c>
      <c r="B966" s="68" t="inlineStr">
        <is>
          <t>'~|)bb</t>
        </is>
      </c>
      <c r="C966" s="68" t="inlineStr">
        <is>
          <t>'~~Y</t>
        </is>
      </c>
      <c r="D966" s="66" t="inlineStr">
        <is>
          <t>  </t>
        </is>
      </c>
      <c r="E966" s="66" t="inlineStr">
        <is>
          <t> </t>
        </is>
      </c>
    </row>
    <row r="967" ht="28.5" customHeight="1" s="71">
      <c r="A967" s="68" t="n">
        <v>-1919</v>
      </c>
      <c r="B967" s="68" t="inlineStr">
        <is>
          <t>/|~bb</t>
        </is>
      </c>
      <c r="C967" s="68" t="inlineStr">
        <is>
          <t>Y~</t>
        </is>
      </c>
      <c r="D967" s="66" t="inlineStr">
        <is>
          <t> </t>
        </is>
      </c>
      <c r="E967" s="66" t="inlineStr">
        <is>
          <t></t>
        </is>
      </c>
    </row>
    <row r="968" ht="28.5" customHeight="1" s="71">
      <c r="A968" s="68" t="n">
        <v>-1918</v>
      </c>
      <c r="B968" s="68" t="inlineStr">
        <is>
          <t>,,(|(bb</t>
        </is>
      </c>
      <c r="C968" s="68" t="inlineStr">
        <is>
          <t>,,~Y(</t>
        </is>
      </c>
      <c r="D968" s="66" t="inlineStr">
        <is>
          <t>  </t>
        </is>
      </c>
      <c r="E968" s="66" t="inlineStr">
        <is>
          <t> </t>
        </is>
      </c>
    </row>
    <row r="969" ht="28.5" customHeight="1" s="71">
      <c r="A969" s="68" t="n">
        <v>-1917</v>
      </c>
      <c r="B969" s="68" t="inlineStr">
        <is>
          <t>,(|(bb</t>
        </is>
      </c>
      <c r="C969" s="68" t="inlineStr">
        <is>
          <t>,~Y(</t>
        </is>
      </c>
      <c r="D969" s="66" t="inlineStr">
        <is>
          <t>  </t>
        </is>
      </c>
      <c r="E969" s="66" t="inlineStr">
        <is>
          <t> </t>
        </is>
      </c>
    </row>
    <row r="970" ht="28.5" customHeight="1" s="71">
      <c r="A970" s="68" t="n">
        <v>-1916</v>
      </c>
      <c r="B970" s="68" t="inlineStr">
        <is>
          <t>(|(bb</t>
        </is>
      </c>
      <c r="C970" s="68" t="inlineStr">
        <is>
          <t>~Y(</t>
        </is>
      </c>
      <c r="D970" s="66" t="inlineStr">
        <is>
          <t> </t>
        </is>
      </c>
      <c r="E970" s="66" t="inlineStr">
        <is>
          <t></t>
        </is>
      </c>
    </row>
    <row r="971" ht="28.5" customHeight="1" s="71">
      <c r="A971" s="68" t="n">
        <v>-1915</v>
      </c>
      <c r="B971" s="68" t="inlineStr">
        <is>
          <t>`(|(bb</t>
        </is>
      </c>
      <c r="C971" s="68" t="inlineStr">
        <is>
          <t>`~Y(</t>
        </is>
      </c>
      <c r="D971" s="66" t="inlineStr">
        <is>
          <t>  </t>
        </is>
      </c>
      <c r="E971" s="66" t="inlineStr">
        <is>
          <t> </t>
        </is>
      </c>
    </row>
    <row r="972" ht="28.5" customHeight="1" s="71">
      <c r="A972" s="68" t="n">
        <v>-1914</v>
      </c>
      <c r="B972" s="68" t="inlineStr">
        <is>
          <t>~|\bb</t>
        </is>
      </c>
      <c r="C972" s="68" t="inlineStr">
        <is>
          <t>)~Y</t>
        </is>
      </c>
      <c r="D972" s="66" t="inlineStr">
        <is>
          <t> </t>
        </is>
      </c>
      <c r="E972" s="66" t="inlineStr">
        <is>
          <t></t>
        </is>
      </c>
    </row>
    <row r="973" ht="28.5" customHeight="1" s="71">
      <c r="A973" s="68" t="n">
        <v>-1913</v>
      </c>
      <c r="B973" s="68" t="inlineStr">
        <is>
          <t>,.//|bb</t>
        </is>
      </c>
      <c r="C973" s="68" t="inlineStr">
        <is>
          <t>,.)Y(</t>
        </is>
      </c>
      <c r="D973" s="66" t="inlineStr">
        <is>
          <t>   </t>
        </is>
      </c>
      <c r="E973" s="66" t="inlineStr">
        <is>
          <t>  </t>
        </is>
      </c>
    </row>
    <row r="974" ht="28.5" customHeight="1" s="71">
      <c r="A974" s="68" t="n">
        <v>-1912</v>
      </c>
      <c r="B974" s="68" t="inlineStr">
        <is>
          <t>.//|bb</t>
        </is>
      </c>
      <c r="C974" s="68" t="inlineStr">
        <is>
          <t>.)Y(</t>
        </is>
      </c>
      <c r="D974" s="66" t="inlineStr">
        <is>
          <t>  </t>
        </is>
      </c>
      <c r="E974" s="66" t="inlineStr">
        <is>
          <t> </t>
        </is>
      </c>
    </row>
    <row r="975" ht="28.5" customHeight="1" s="71">
      <c r="A975" s="68" t="n">
        <v>-1911</v>
      </c>
      <c r="B975" s="68" t="inlineStr">
        <is>
          <t>`.//|bb</t>
        </is>
      </c>
      <c r="C975" s="68" t="inlineStr">
        <is>
          <t>`.)Y(</t>
        </is>
      </c>
      <c r="D975" s="66" t="inlineStr">
        <is>
          <t>   </t>
        </is>
      </c>
      <c r="E975" s="66" t="inlineStr">
        <is>
          <t>  </t>
        </is>
      </c>
    </row>
    <row r="976" ht="28.5" customHeight="1" s="71">
      <c r="A976" s="68" t="n">
        <v>-1910</v>
      </c>
      <c r="B976" s="68" t="inlineStr">
        <is>
          <t>,,//|bb</t>
        </is>
      </c>
      <c r="C976" s="68" t="inlineStr">
        <is>
          <t>,,)Y(</t>
        </is>
      </c>
      <c r="D976" s="66" t="inlineStr">
        <is>
          <t>  </t>
        </is>
      </c>
      <c r="E976" s="66" t="inlineStr">
        <is>
          <t> </t>
        </is>
      </c>
    </row>
    <row r="977" ht="28.5" customHeight="1" s="71">
      <c r="A977" s="68" t="n">
        <v>-1909</v>
      </c>
      <c r="B977" s="68" t="inlineStr">
        <is>
          <t>,//|bb</t>
        </is>
      </c>
      <c r="C977" s="68" t="inlineStr">
        <is>
          <t>,)Y(</t>
        </is>
      </c>
      <c r="D977" s="66" t="inlineStr">
        <is>
          <t>  </t>
        </is>
      </c>
      <c r="E977" s="66" t="inlineStr">
        <is>
          <t> </t>
        </is>
      </c>
    </row>
    <row r="978" ht="28.5" customHeight="1" s="71">
      <c r="A978" s="68" t="n">
        <v>-1908</v>
      </c>
      <c r="B978" s="68" t="inlineStr">
        <is>
          <t>//|bb</t>
        </is>
      </c>
      <c r="C978" s="68" t="inlineStr">
        <is>
          <t>)Y(</t>
        </is>
      </c>
      <c r="D978" s="66" t="inlineStr">
        <is>
          <t> </t>
        </is>
      </c>
      <c r="E978" s="66" t="inlineStr">
        <is>
          <t></t>
        </is>
      </c>
    </row>
    <row r="979" ht="28.5" customHeight="1" s="71">
      <c r="A979" s="68" t="n">
        <v>-1907</v>
      </c>
      <c r="B979" s="68" t="inlineStr">
        <is>
          <t>`//|bb</t>
        </is>
      </c>
      <c r="C979" s="68" t="inlineStr">
        <is>
          <t>`)Y(</t>
        </is>
      </c>
      <c r="D979" s="66" t="inlineStr">
        <is>
          <t>  </t>
        </is>
      </c>
      <c r="E979" s="66" t="inlineStr">
        <is>
          <t> </t>
        </is>
      </c>
    </row>
    <row r="980" ht="28.5" customHeight="1" s="71">
      <c r="A980" s="68" t="n">
        <v>-1906</v>
      </c>
      <c r="B980" s="68" t="inlineStr">
        <is>
          <t>``//|bb</t>
        </is>
      </c>
      <c r="C980" s="68" t="inlineStr">
        <is>
          <t>``)Y(</t>
        </is>
      </c>
      <c r="D980" s="66" t="inlineStr">
        <is>
          <t>  </t>
        </is>
      </c>
      <c r="E980" s="66" t="inlineStr">
        <is>
          <t> </t>
        </is>
      </c>
    </row>
    <row r="981" ht="28.5" customHeight="1" s="71">
      <c r="A981" s="68" t="n">
        <v>-1905</v>
      </c>
      <c r="B981" s="68" t="inlineStr">
        <is>
          <t>,'//|bb</t>
        </is>
      </c>
      <c r="C981" s="68" t="inlineStr">
        <is>
          <t>,')Y(</t>
        </is>
      </c>
      <c r="D981" s="66" t="inlineStr">
        <is>
          <t>   </t>
        </is>
      </c>
      <c r="E981" s="66" t="inlineStr">
        <is>
          <t>  </t>
        </is>
      </c>
    </row>
    <row r="982" ht="28.5" customHeight="1" s="71">
      <c r="A982" s="68" t="n">
        <v>-1904</v>
      </c>
      <c r="B982" s="68" t="inlineStr">
        <is>
          <t>'//|bb</t>
        </is>
      </c>
      <c r="C982" s="68" t="inlineStr">
        <is>
          <t>')Y(</t>
        </is>
      </c>
      <c r="D982" s="66" t="inlineStr">
        <is>
          <t>  </t>
        </is>
      </c>
      <c r="E982" s="66" t="inlineStr">
        <is>
          <t> 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2026-07-13T20:27:51Z</dcterms:created>
  <dcterms:modified xmlns:dcterms="http://purl.org/dc/terms/" xmlns:xsi="http://www.w3.org/2001/XMLSchema-instance" xsi:type="dcterms:W3CDTF">2026-07-13T20:27:51Z</dcterms:modified>
  <cp:lastModifiedBy>Microsoft Office User</cp:lastModifiedBy>
</cp:coreProperties>
</file>